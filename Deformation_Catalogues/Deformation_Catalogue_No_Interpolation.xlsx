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jl20461_bristol_ac_uk/Documents/Documents/BristolPhD/Clustering_Tests/June25/"/>
    </mc:Choice>
  </mc:AlternateContent>
  <xr:revisionPtr revIDLastSave="236" documentId="8_{FAB41EE0-8806-1C4B-BE85-FD06217D05E2}" xr6:coauthVersionLast="47" xr6:coauthVersionMax="47" xr10:uidLastSave="{CA1E4937-0E23-5C4D-9AFE-925D9C643BDB}"/>
  <bookViews>
    <workbookView minimized="1" xWindow="-38400" yWindow="-520" windowWidth="38400" windowHeight="20320" xr2:uid="{2BA19DC3-9B24-0A44-AEFA-9C280BEC62CB}"/>
  </bookViews>
  <sheets>
    <sheet name="Sheet1" sheetId="1" r:id="rId1"/>
    <sheet name="VolcanoSA" sheetId="3" r:id="rId2"/>
    <sheet name="Sheet4" sheetId="4" r:id="rId3"/>
  </sheets>
  <definedNames>
    <definedName name="_xlnm._FilterDatabase" localSheetId="0" hidden="1">Sheet1!$A$1:$AF$294</definedName>
    <definedName name="_xlnm._FilterDatabase" localSheetId="1" hidden="1">VolcanoSA!$A$1:$D$294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6" i="1" l="1"/>
  <c r="F2" i="3"/>
  <c r="C16" i="3" l="1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" i="3" a="1"/>
  <c r="C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" i="3" a="1"/>
  <c r="C3" i="3" s="1"/>
  <c r="C4" i="3" a="1"/>
  <c r="C4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5" i="3" a="1"/>
  <c r="C5" i="3" s="1"/>
  <c r="C6" i="3" a="1"/>
  <c r="C6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7" i="3" a="1"/>
  <c r="C7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8" i="3" a="1"/>
  <c r="C8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9" i="3" a="1"/>
  <c r="C9" i="3" s="1"/>
  <c r="C72" i="3" a="1"/>
  <c r="C72" i="3" s="1"/>
  <c r="C73" i="3" a="1"/>
  <c r="C73" i="3" s="1"/>
  <c r="C10" i="3" a="1"/>
  <c r="C10" i="3" s="1"/>
  <c r="C74" i="3" a="1"/>
  <c r="C74" i="3"/>
  <c r="C11" i="3" a="1"/>
  <c r="C11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12" i="3" a="1"/>
  <c r="C1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13" i="3" a="1"/>
  <c r="C13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4" i="3" a="1"/>
  <c r="C14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5" i="3" a="1"/>
  <c r="C15" i="3" s="1"/>
  <c r="F218" i="1"/>
  <c r="AD2" i="1"/>
  <c r="AD4" i="1"/>
  <c r="AD6" i="1"/>
  <c r="AD7" i="1"/>
  <c r="AD5" i="1"/>
  <c r="AD8" i="1"/>
  <c r="AD9" i="1"/>
  <c r="AD10" i="1"/>
  <c r="AD12" i="1"/>
  <c r="AD11" i="1"/>
  <c r="AD13" i="1"/>
  <c r="AD14" i="1"/>
  <c r="AD18" i="1"/>
  <c r="AD15" i="1"/>
  <c r="AD17" i="1"/>
  <c r="AD16" i="1"/>
  <c r="AD19" i="1"/>
  <c r="AD20" i="1"/>
  <c r="AD21" i="1"/>
  <c r="AD22" i="1"/>
  <c r="AD23" i="1"/>
  <c r="AD24" i="1"/>
  <c r="AD25" i="1"/>
  <c r="AD26" i="1"/>
  <c r="AD27" i="1"/>
  <c r="AD30" i="1"/>
  <c r="AD28" i="1"/>
  <c r="AD29" i="1"/>
  <c r="AD31" i="1"/>
  <c r="AD33" i="1"/>
  <c r="AD34" i="1"/>
  <c r="AD35" i="1"/>
  <c r="AD36" i="1"/>
  <c r="AD32" i="1"/>
  <c r="AD37" i="1"/>
  <c r="AD40" i="1"/>
  <c r="AD41" i="1"/>
  <c r="AD43" i="1"/>
  <c r="AD42" i="1"/>
  <c r="AD38" i="1"/>
  <c r="AD39" i="1"/>
  <c r="AD44" i="1"/>
  <c r="AD45" i="1"/>
  <c r="AD46" i="1"/>
  <c r="AD47" i="1"/>
  <c r="AD50" i="1"/>
  <c r="AD48" i="1"/>
  <c r="AD51" i="1"/>
  <c r="AD49" i="1"/>
  <c r="AD52" i="1"/>
  <c r="AD55" i="1"/>
  <c r="AD54" i="1"/>
  <c r="AD53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9" i="1"/>
  <c r="AD68" i="1"/>
  <c r="AD70" i="1"/>
  <c r="AD72" i="1"/>
  <c r="AD71" i="1"/>
  <c r="AD73" i="1"/>
  <c r="AD74" i="1"/>
  <c r="AD75" i="1"/>
  <c r="AD76" i="1"/>
  <c r="AD77" i="1"/>
  <c r="AD78" i="1"/>
  <c r="AD80" i="1"/>
  <c r="AD81" i="1"/>
  <c r="AD79" i="1"/>
  <c r="AD82" i="1"/>
  <c r="AD83" i="1"/>
  <c r="AD84" i="1"/>
  <c r="AD85" i="1"/>
  <c r="AD86" i="1"/>
  <c r="AD87" i="1"/>
  <c r="AD89" i="1"/>
  <c r="AD90" i="1"/>
  <c r="AD88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4" i="1"/>
  <c r="AD103" i="1"/>
  <c r="AD105" i="1"/>
  <c r="AD108" i="1"/>
  <c r="AD107" i="1"/>
  <c r="AD106" i="1"/>
  <c r="AD109" i="1"/>
  <c r="AD110" i="1"/>
  <c r="AD111" i="1"/>
  <c r="AD113" i="1"/>
  <c r="AD112" i="1"/>
  <c r="AD114" i="1"/>
  <c r="AD115" i="1"/>
  <c r="AD116" i="1"/>
  <c r="AD117" i="1"/>
  <c r="AD120" i="1"/>
  <c r="AD118" i="1"/>
  <c r="AD119" i="1"/>
  <c r="AD121" i="1"/>
  <c r="AD122" i="1"/>
  <c r="AD123" i="1"/>
  <c r="AD124" i="1"/>
  <c r="AD125" i="1"/>
  <c r="AD126" i="1"/>
  <c r="AD127" i="1"/>
  <c r="AD128" i="1"/>
  <c r="AD131" i="1"/>
  <c r="AD130" i="1"/>
  <c r="AD129" i="1"/>
  <c r="AD132" i="1"/>
  <c r="AD133" i="1"/>
  <c r="AD136" i="1"/>
  <c r="AD135" i="1"/>
  <c r="AD134" i="1"/>
  <c r="AD137" i="1"/>
  <c r="AD139" i="1"/>
  <c r="AD138" i="1"/>
  <c r="AD141" i="1"/>
  <c r="AD140" i="1"/>
  <c r="AD142" i="1"/>
  <c r="AD143" i="1"/>
  <c r="AD144" i="1"/>
  <c r="AD146" i="1"/>
  <c r="AD145" i="1"/>
  <c r="AD148" i="1"/>
  <c r="AD147" i="1"/>
  <c r="AD150" i="1"/>
  <c r="AD149" i="1"/>
  <c r="AD151" i="1"/>
  <c r="AD153" i="1"/>
  <c r="AD152" i="1"/>
  <c r="AD156" i="1"/>
 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r="AD166" i="1"/>
  <c r="AD167" i="1"/>
  <c r="AD170" i="1"/>
  <c r="AD169" i="1"/>
  <c r="AD171" i="1"/>
  <c r="AD173" i="1"/>
  <c r="AD172" i="1"/>
  <c r="AD174" i="1"/>
  <c r="AD175" i="1"/>
  <c r="AD176" i="1"/>
  <c r="AD177" i="1"/>
  <c r="AD178" i="1"/>
  <c r="AD180" i="1"/>
  <c r="AD179" i="1"/>
  <c r="AD181" i="1"/>
  <c r="AD182" i="1"/>
  <c r="AD184" i="1"/>
  <c r="AD183" i="1"/>
  <c r="AD185" i="1"/>
  <c r="AD186" i="1"/>
  <c r="AD187" i="1"/>
  <c r="AD190" i="1"/>
  <c r="AD189" i="1"/>
  <c r="AD188" i="1"/>
  <c r="AD191" i="1"/>
  <c r="AD193" i="1"/>
  <c r="AD192" i="1"/>
  <c r="AD194" i="1"/>
  <c r="AD196" i="1"/>
  <c r="AD195" i="1"/>
  <c r="AD197" i="1"/>
  <c r="AD205" i="1"/>
  <c r="AD198" i="1"/>
  <c r="AD203" i="1"/>
  <c r="AD202" i="1"/>
  <c r="AD199" i="1"/>
  <c r="AD201" i="1"/>
  <c r="AD200" i="1"/>
  <c r="AD204" i="1"/>
  <c r="AD206" i="1"/>
  <c r="AD207" i="1"/>
  <c r="AD212" i="1"/>
  <c r="AD210" i="1"/>
  <c r="AD209" i="1"/>
  <c r="AD208" i="1"/>
  <c r="AD211" i="1"/>
  <c r="AD213" i="1"/>
  <c r="AD214" i="1"/>
  <c r="AD215" i="1"/>
  <c r="AD216" i="1"/>
  <c r="AD217" i="1"/>
  <c r="AD218" i="1"/>
  <c r="AD219" i="1"/>
  <c r="AD220" i="1"/>
  <c r="AD222" i="1"/>
  <c r="AD224" i="1"/>
  <c r="AD221" i="1"/>
  <c r="AD225" i="1"/>
  <c r="AD223" i="1"/>
  <c r="AD227" i="1"/>
  <c r="AD226" i="1"/>
  <c r="AD229" i="1"/>
  <c r="AD228" i="1"/>
  <c r="AD230" i="1"/>
  <c r="AD231" i="1"/>
  <c r="AD232" i="1"/>
  <c r="AD233" i="1"/>
  <c r="AD235" i="1"/>
  <c r="AD234" i="1"/>
  <c r="AD236" i="1"/>
  <c r="AD237" i="1"/>
  <c r="AD238" i="1"/>
  <c r="AD239" i="1"/>
  <c r="AD240" i="1"/>
  <c r="AD241" i="1"/>
  <c r="AD243" i="1"/>
  <c r="AD247" i="1"/>
  <c r="AD245" i="1"/>
  <c r="AD246" i="1"/>
  <c r="AD244" i="1"/>
  <c r="AD242" i="1"/>
  <c r="AD248" i="1"/>
  <c r="AD249" i="1"/>
  <c r="AD250" i="1"/>
  <c r="AD251" i="1"/>
  <c r="AD253" i="1"/>
  <c r="AD252" i="1"/>
  <c r="AD254" i="1"/>
  <c r="AD255" i="1"/>
  <c r="AD256" i="1"/>
  <c r="AD257" i="1"/>
  <c r="AD258" i="1"/>
  <c r="AD260" i="1"/>
  <c r="AD259" i="1"/>
  <c r="AD261" i="1"/>
  <c r="AD262" i="1"/>
  <c r="AD263" i="1"/>
  <c r="AD264" i="1"/>
  <c r="AD265" i="1"/>
  <c r="AD266" i="1"/>
  <c r="AD267" i="1"/>
  <c r="AD269" i="1"/>
  <c r="AD268" i="1"/>
  <c r="AD270" i="1"/>
  <c r="AD271" i="1"/>
  <c r="AD272" i="1"/>
  <c r="AD273" i="1"/>
  <c r="AD274" i="1"/>
  <c r="AD275" i="1"/>
  <c r="AD276" i="1"/>
  <c r="AD278" i="1"/>
  <c r="AD277" i="1"/>
  <c r="AD279" i="1"/>
  <c r="AD280" i="1"/>
  <c r="AD281" i="1"/>
  <c r="AD282" i="1"/>
  <c r="AD283" i="1"/>
  <c r="AD284" i="1"/>
  <c r="AD285" i="1"/>
  <c r="AD286" i="1"/>
  <c r="AD287" i="1"/>
  <c r="AD288" i="1"/>
  <c r="AD293" i="1"/>
  <c r="AD292" i="1"/>
  <c r="AD291" i="1"/>
  <c r="AD290" i="1"/>
  <c r="AD289" i="1"/>
  <c r="AD294" i="1"/>
  <c r="AD3" i="1"/>
  <c r="AA75" i="1"/>
  <c r="AA58" i="1"/>
  <c r="AA294" i="1"/>
  <c r="AA292" i="1"/>
  <c r="AA286" i="1"/>
  <c r="AA275" i="1"/>
  <c r="AA274" i="1"/>
  <c r="AA273" i="1"/>
  <c r="AA271" i="1"/>
  <c r="AA270" i="1"/>
  <c r="AA265" i="1"/>
  <c r="AA264" i="1"/>
  <c r="AA256" i="1"/>
  <c r="AA253" i="1"/>
  <c r="AA249" i="1"/>
  <c r="AA244" i="1"/>
  <c r="AA245" i="1"/>
  <c r="AA243" i="1"/>
  <c r="AA239" i="1"/>
  <c r="AA238" i="1"/>
  <c r="AA233" i="1"/>
  <c r="AA231" i="1"/>
  <c r="AA230" i="1"/>
  <c r="AA228" i="1"/>
  <c r="AA227" i="1"/>
  <c r="AA219" i="1"/>
  <c r="AA217" i="1"/>
  <c r="AA216" i="1"/>
  <c r="AA213" i="1"/>
  <c r="AA198" i="1"/>
  <c r="AA197" i="1"/>
  <c r="AA194" i="1"/>
  <c r="AA185" i="1"/>
  <c r="AA182" i="1"/>
  <c r="AA180" i="1"/>
  <c r="AA178" i="1"/>
  <c r="AA177" i="1"/>
  <c r="AA175" i="1"/>
  <c r="AA163" i="1"/>
  <c r="AA162" i="1"/>
  <c r="AA159" i="1"/>
  <c r="AA151" i="1"/>
  <c r="AA147" i="1"/>
  <c r="AA148" i="1"/>
  <c r="AA145" i="1"/>
  <c r="AA146" i="1"/>
  <c r="AA142" i="1"/>
  <c r="AA139" i="1"/>
  <c r="AA125" i="1"/>
  <c r="AA124" i="1"/>
  <c r="AA104" i="1"/>
  <c r="AA101" i="1"/>
  <c r="AA95" i="1"/>
  <c r="AA92" i="1"/>
  <c r="AA78" i="1"/>
  <c r="AA67" i="1"/>
  <c r="AA64" i="1"/>
  <c r="AA59" i="1"/>
  <c r="AA57" i="1"/>
  <c r="AA56" i="1"/>
  <c r="AA46" i="1"/>
  <c r="AA45" i="1"/>
  <c r="AA42" i="1"/>
  <c r="AA43" i="1"/>
  <c r="AA40" i="1"/>
  <c r="AA32" i="1"/>
  <c r="AA34" i="1"/>
  <c r="AA33" i="1"/>
  <c r="AA31" i="1"/>
  <c r="AA28" i="1"/>
  <c r="AA30" i="1"/>
  <c r="AA27" i="1"/>
  <c r="AA25" i="1"/>
  <c r="AA24" i="1"/>
  <c r="AA22" i="1"/>
  <c r="AA21" i="1"/>
  <c r="AA20" i="1"/>
  <c r="AA19" i="1"/>
  <c r="AA9" i="1"/>
  <c r="AA6" i="1"/>
  <c r="F223" i="1"/>
  <c r="O21" i="1"/>
  <c r="O294" i="1"/>
  <c r="O292" i="1"/>
  <c r="O293" i="1"/>
  <c r="O286" i="1"/>
  <c r="O276" i="1"/>
  <c r="O271" i="1"/>
  <c r="O270" i="1"/>
  <c r="O265" i="1"/>
  <c r="O263" i="1"/>
  <c r="O258" i="1"/>
  <c r="O256" i="1"/>
  <c r="O253" i="1"/>
  <c r="O243" i="1"/>
  <c r="O239" i="1"/>
  <c r="O238" i="1"/>
  <c r="O237" i="1"/>
  <c r="O232" i="1"/>
  <c r="O231" i="1"/>
  <c r="O230" i="1"/>
  <c r="O228" i="1"/>
  <c r="O227" i="1"/>
  <c r="O220" i="1"/>
  <c r="O218" i="1"/>
  <c r="O217" i="1"/>
  <c r="O216" i="1"/>
  <c r="O213" i="1"/>
  <c r="O198" i="1"/>
  <c r="O197" i="1"/>
  <c r="O194" i="1"/>
  <c r="O186" i="1"/>
  <c r="O179" i="1"/>
  <c r="O180" i="1"/>
  <c r="O178" i="1"/>
  <c r="O177" i="1"/>
  <c r="O171" i="1"/>
  <c r="O163" i="1"/>
  <c r="O162" i="1"/>
  <c r="O159" i="1"/>
  <c r="O153" i="1"/>
  <c r="O145" i="1"/>
  <c r="O146" i="1"/>
  <c r="O125" i="1"/>
  <c r="O124" i="1"/>
  <c r="O105" i="1"/>
  <c r="O104" i="1"/>
  <c r="O101" i="1"/>
  <c r="O95" i="1"/>
  <c r="O75" i="1"/>
  <c r="O59" i="1"/>
  <c r="O57" i="1"/>
  <c r="O56" i="1"/>
  <c r="O42" i="1"/>
  <c r="O43" i="1"/>
  <c r="O32" i="1"/>
  <c r="O31" i="1"/>
  <c r="O30" i="1"/>
  <c r="O25" i="1"/>
  <c r="O24" i="1"/>
  <c r="O23" i="1"/>
  <c r="O20" i="1"/>
  <c r="F52" i="1"/>
  <c r="AC52" i="1" s="1"/>
  <c r="F190" i="1"/>
  <c r="F189" i="1"/>
  <c r="F188" i="1"/>
  <c r="AA188" i="1" s="1"/>
  <c r="F268" i="1"/>
  <c r="AA268" i="1" s="1"/>
  <c r="F269" i="1"/>
  <c r="AC2" i="1"/>
  <c r="AC4" i="1"/>
  <c r="AC6" i="1"/>
  <c r="AC9" i="1"/>
  <c r="AC12" i="1"/>
  <c r="AC11" i="1"/>
  <c r="AC14" i="1"/>
  <c r="AC19" i="1"/>
  <c r="AC20" i="1"/>
  <c r="AC21" i="1"/>
  <c r="AC22" i="1"/>
  <c r="AC23" i="1"/>
  <c r="AC24" i="1"/>
  <c r="AC25" i="1"/>
  <c r="AC26" i="1"/>
  <c r="AC27" i="1"/>
  <c r="AC30" i="1"/>
  <c r="AC28" i="1"/>
  <c r="AC31" i="1"/>
  <c r="AC33" i="1"/>
  <c r="AC34" i="1"/>
  <c r="AC35" i="1"/>
  <c r="AC36" i="1"/>
  <c r="AC32" i="1"/>
  <c r="AC40" i="1"/>
  <c r="AC41" i="1"/>
  <c r="AC43" i="1"/>
  <c r="AC42" i="1"/>
  <c r="AC38" i="1"/>
  <c r="AC39" i="1"/>
  <c r="AC44" i="1"/>
  <c r="AC45" i="1"/>
  <c r="AC46" i="1"/>
  <c r="AC50" i="1"/>
  <c r="AC56" i="1"/>
  <c r="AC57" i="1"/>
  <c r="AC58" i="1"/>
  <c r="AC59" i="1"/>
  <c r="AC61" i="1"/>
  <c r="AC64" i="1"/>
  <c r="AC65" i="1"/>
  <c r="AC66" i="1"/>
  <c r="AC67" i="1"/>
  <c r="AC70" i="1"/>
  <c r="AC73" i="1"/>
  <c r="AC75" i="1"/>
  <c r="AC78" i="1"/>
  <c r="AC80" i="1"/>
  <c r="AC79" i="1"/>
  <c r="AC83" i="1"/>
  <c r="AC87" i="1"/>
  <c r="AC92" i="1"/>
  <c r="AC95" i="1"/>
  <c r="AC98" i="1"/>
  <c r="AC101" i="1"/>
  <c r="AC102" i="1"/>
  <c r="AC104" i="1"/>
  <c r="AC103" i="1"/>
  <c r="AC105" i="1"/>
  <c r="AC111" i="1"/>
  <c r="AC113" i="1"/>
  <c r="AC112" i="1"/>
  <c r="AC117" i="1"/>
  <c r="AC120" i="1"/>
  <c r="AC118" i="1"/>
  <c r="AC119" i="1"/>
  <c r="AC124" i="1"/>
  <c r="AC125" i="1"/>
  <c r="AC137" i="1"/>
  <c r="AC139" i="1"/>
  <c r="AC142" i="1"/>
  <c r="AC146" i="1"/>
  <c r="AC145" i="1"/>
  <c r="AC148" i="1"/>
  <c r="AC147" i="1"/>
  <c r="AC151" i="1"/>
  <c r="AC153" i="1"/>
  <c r="AC152" i="1"/>
  <c r="AC159" i="1"/>
  <c r="AC161" i="1"/>
  <c r="AC162" i="1"/>
  <c r="AC163" i="1"/>
  <c r="AC165" i="1"/>
  <c r="AC168" i="1"/>
  <c r="AC166" i="1"/>
  <c r="AC167" i="1"/>
  <c r="AC171" i="1"/>
  <c r="AC173" i="1"/>
  <c r="AC172" i="1"/>
  <c r="AC175" i="1"/>
  <c r="AC177" i="1"/>
  <c r="AC178" i="1"/>
  <c r="AC180" i="1"/>
  <c r="AC179" i="1"/>
  <c r="AC182" i="1"/>
  <c r="AC184" i="1"/>
  <c r="AC183" i="1"/>
  <c r="AC185" i="1"/>
  <c r="AC186" i="1"/>
  <c r="AC191" i="1"/>
  <c r="AC194" i="1"/>
  <c r="AC197" i="1"/>
  <c r="AC205" i="1"/>
  <c r="AC198" i="1"/>
  <c r="AC203" i="1"/>
  <c r="AC207" i="1"/>
  <c r="AC213" i="1"/>
  <c r="AC216" i="1"/>
  <c r="AC217" i="1"/>
  <c r="AC218" i="1"/>
  <c r="AC219" i="1"/>
  <c r="AC220" i="1"/>
  <c r="AC222" i="1"/>
  <c r="AC224" i="1"/>
  <c r="AC221" i="1"/>
  <c r="AC227" i="1"/>
  <c r="AC229" i="1"/>
  <c r="AC228" i="1"/>
  <c r="AC230" i="1"/>
  <c r="AC231" i="1"/>
  <c r="AC232" i="1"/>
  <c r="AC233" i="1"/>
  <c r="AC237" i="1"/>
  <c r="AC238" i="1"/>
  <c r="AC239" i="1"/>
  <c r="AC243" i="1"/>
  <c r="AC247" i="1"/>
  <c r="AC245" i="1"/>
  <c r="AC246" i="1"/>
  <c r="AC244" i="1"/>
  <c r="AC242" i="1"/>
  <c r="AC249" i="1"/>
  <c r="AC251" i="1"/>
  <c r="AC253" i="1"/>
  <c r="AC256" i="1"/>
  <c r="AC258" i="1"/>
  <c r="AC260" i="1"/>
  <c r="AC263" i="1"/>
  <c r="AC264" i="1"/>
  <c r="AC265" i="1"/>
  <c r="AC270" i="1"/>
  <c r="AC271" i="1"/>
  <c r="AC273" i="1"/>
  <c r="AC274" i="1"/>
  <c r="AC275" i="1"/>
  <c r="AC276" i="1"/>
  <c r="AC279" i="1"/>
  <c r="AC283" i="1"/>
  <c r="AC285" i="1"/>
  <c r="AC286" i="1"/>
  <c r="AC293" i="1"/>
  <c r="AC292" i="1"/>
  <c r="AC294" i="1"/>
  <c r="AC3" i="1"/>
  <c r="AA52" i="1" l="1"/>
  <c r="L66" i="1"/>
  <c r="L289" i="1"/>
  <c r="L291" i="1"/>
  <c r="L280" i="1"/>
  <c r="F225" i="1"/>
  <c r="AC225" i="1" s="1"/>
  <c r="L199" i="1"/>
  <c r="L186" i="1"/>
  <c r="L168" i="1"/>
  <c r="L166" i="1"/>
  <c r="L167" i="1"/>
  <c r="L165" i="1"/>
  <c r="L127" i="1"/>
  <c r="L106" i="1"/>
  <c r="L107" i="1"/>
  <c r="L99" i="1"/>
  <c r="L93" i="1"/>
  <c r="L85" i="1"/>
  <c r="L71" i="1"/>
  <c r="L11" i="1"/>
  <c r="L7" i="1"/>
  <c r="O182" i="1" l="1"/>
  <c r="O285" i="1"/>
  <c r="O283" i="1"/>
  <c r="O279" i="1"/>
  <c r="O275" i="1"/>
  <c r="O274" i="1"/>
  <c r="O273" i="1"/>
  <c r="O264" i="1"/>
  <c r="O251" i="1"/>
  <c r="O249" i="1"/>
  <c r="O242" i="1"/>
  <c r="O244" i="1"/>
  <c r="O246" i="1"/>
  <c r="O245" i="1"/>
  <c r="O247" i="1"/>
  <c r="O219" i="1"/>
  <c r="O229" i="1"/>
  <c r="O233" i="1"/>
  <c r="O221" i="1"/>
  <c r="O224" i="1"/>
  <c r="O222" i="1"/>
  <c r="O203" i="1"/>
  <c r="O205" i="1"/>
  <c r="O191" i="1"/>
  <c r="O185" i="1"/>
  <c r="O175" i="1"/>
  <c r="O172" i="1"/>
  <c r="O173" i="1"/>
  <c r="O167" i="1"/>
  <c r="O166" i="1"/>
  <c r="O168" i="1"/>
  <c r="O165" i="1"/>
  <c r="O161" i="1"/>
  <c r="O152" i="1"/>
  <c r="O151" i="1"/>
  <c r="O147" i="1"/>
  <c r="O148" i="1"/>
  <c r="O142" i="1"/>
  <c r="O139" i="1"/>
  <c r="O119" i="1"/>
  <c r="O118" i="1"/>
  <c r="O120" i="1"/>
  <c r="O117" i="1"/>
  <c r="O112" i="1"/>
  <c r="O113" i="1"/>
  <c r="O111" i="1"/>
  <c r="O103" i="1"/>
  <c r="O102" i="1"/>
  <c r="O92" i="1"/>
  <c r="O83" i="1"/>
  <c r="O78" i="1"/>
  <c r="O67" i="1"/>
  <c r="O66" i="1"/>
  <c r="O65" i="1"/>
  <c r="O64" i="1"/>
  <c r="O58" i="1"/>
  <c r="O50" i="1"/>
  <c r="O46" i="1"/>
  <c r="O41" i="1"/>
  <c r="O40" i="1"/>
  <c r="O36" i="1"/>
  <c r="O35" i="1"/>
  <c r="O34" i="1"/>
  <c r="O33" i="1"/>
  <c r="O28" i="1"/>
  <c r="O22" i="1"/>
  <c r="O9" i="1"/>
  <c r="O6" i="1"/>
  <c r="O4" i="1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B2" i="4"/>
  <c r="C2" i="4"/>
  <c r="A2" i="4"/>
  <c r="K206" i="1"/>
  <c r="K204" i="1"/>
  <c r="K200" i="1"/>
  <c r="K201" i="1"/>
  <c r="K199" i="1"/>
  <c r="K202" i="1"/>
  <c r="K150" i="1"/>
  <c r="K88" i="1"/>
  <c r="K89" i="1"/>
  <c r="K44" i="1"/>
  <c r="K2" i="1"/>
  <c r="K3" i="1"/>
  <c r="AC60" i="1"/>
  <c r="AA69" i="1"/>
  <c r="AC72" i="1"/>
  <c r="AC71" i="1"/>
  <c r="AA84" i="1"/>
  <c r="AC85" i="1"/>
  <c r="AC86" i="1"/>
  <c r="AC89" i="1"/>
  <c r="AC90" i="1"/>
  <c r="AC88" i="1"/>
  <c r="AC91" i="1"/>
  <c r="AA93" i="1"/>
  <c r="AC94" i="1"/>
  <c r="AA96" i="1"/>
  <c r="AA100" i="1"/>
  <c r="AA114" i="1"/>
  <c r="AA115" i="1"/>
  <c r="AA116" i="1"/>
  <c r="AC126" i="1"/>
  <c r="AA127" i="1"/>
  <c r="AC128" i="1"/>
  <c r="AC131" i="1"/>
  <c r="AC130" i="1"/>
  <c r="AA129" i="1"/>
  <c r="AA132" i="1"/>
  <c r="AC133" i="1"/>
  <c r="AC138" i="1"/>
  <c r="AC141" i="1"/>
  <c r="AA140" i="1"/>
  <c r="AA150" i="1"/>
  <c r="AA149" i="1"/>
  <c r="AA156" i="1"/>
  <c r="AA155" i="1"/>
  <c r="AA160" i="1"/>
  <c r="AA170" i="1"/>
  <c r="AC187" i="1"/>
  <c r="AA196" i="1"/>
  <c r="AA195" i="1"/>
  <c r="AC202" i="1"/>
  <c r="AA199" i="1"/>
  <c r="AA201" i="1"/>
  <c r="AC200" i="1"/>
  <c r="AC204" i="1"/>
  <c r="AA206" i="1"/>
  <c r="AA212" i="1"/>
  <c r="AA210" i="1"/>
  <c r="AA209" i="1"/>
  <c r="AA208" i="1"/>
  <c r="AC211" i="1"/>
  <c r="AC223" i="1"/>
  <c r="AC226" i="1"/>
  <c r="AA248" i="1"/>
  <c r="AC252" i="1"/>
  <c r="AC254" i="1"/>
  <c r="C257" i="1"/>
  <c r="AA257" i="1" s="1"/>
  <c r="AA261" i="1"/>
  <c r="AC272" i="1"/>
  <c r="AC280" i="1"/>
  <c r="AA282" i="1"/>
  <c r="AA287" i="1"/>
  <c r="AC7" i="1"/>
  <c r="AA5" i="1"/>
  <c r="AC8" i="1"/>
  <c r="AC10" i="1"/>
  <c r="AC18" i="1"/>
  <c r="AA15" i="1"/>
  <c r="AC17" i="1"/>
  <c r="AA16" i="1"/>
  <c r="AA29" i="1"/>
  <c r="AC37" i="1"/>
  <c r="AC47" i="1"/>
  <c r="AA48" i="1"/>
  <c r="AC51" i="1"/>
  <c r="AC49" i="1"/>
  <c r="AC55" i="1"/>
  <c r="AC54" i="1"/>
  <c r="AA53" i="1"/>
  <c r="AA62" i="1"/>
  <c r="AC63" i="1"/>
  <c r="AC68" i="1"/>
  <c r="AA74" i="1"/>
  <c r="AC76" i="1"/>
  <c r="AC77" i="1"/>
  <c r="AC97" i="1"/>
  <c r="AA99" i="1"/>
  <c r="AC107" i="1"/>
  <c r="AA106" i="1"/>
  <c r="AC109" i="1"/>
  <c r="AC110" i="1"/>
  <c r="AC121" i="1"/>
  <c r="AA122" i="1"/>
  <c r="AC123" i="1"/>
  <c r="AC135" i="1"/>
  <c r="AA134" i="1"/>
  <c r="C143" i="1"/>
  <c r="AC143" i="1" s="1"/>
  <c r="AC144" i="1"/>
  <c r="AA154" i="1"/>
  <c r="AA157" i="1"/>
  <c r="AC158" i="1"/>
  <c r="AC164" i="1"/>
  <c r="AC169" i="1"/>
  <c r="AC174" i="1"/>
  <c r="AA176" i="1"/>
  <c r="AA181" i="1"/>
  <c r="AC193" i="1"/>
  <c r="AA192" i="1"/>
  <c r="AC214" i="1"/>
  <c r="AA215" i="1"/>
  <c r="AA235" i="1"/>
  <c r="AA234" i="1"/>
  <c r="AC236" i="1"/>
  <c r="AA240" i="1"/>
  <c r="AC241" i="1"/>
  <c r="AC250" i="1"/>
  <c r="C255" i="1"/>
  <c r="AC255" i="1" s="1"/>
  <c r="AA259" i="1"/>
  <c r="AC262" i="1"/>
  <c r="AC266" i="1"/>
  <c r="AC267" i="1"/>
  <c r="AC277" i="1"/>
  <c r="AC281" i="1"/>
  <c r="AC284" i="1"/>
  <c r="AC288" i="1"/>
  <c r="AA291" i="1"/>
  <c r="AC290" i="1"/>
  <c r="AA289" i="1"/>
  <c r="J34" i="1"/>
  <c r="J35" i="1"/>
  <c r="J36" i="1"/>
  <c r="J32" i="1"/>
  <c r="J40" i="1"/>
  <c r="J41" i="1"/>
  <c r="J46" i="1"/>
  <c r="L46" i="1" s="1"/>
  <c r="J102" i="1"/>
  <c r="J103" i="1"/>
  <c r="J113" i="1"/>
  <c r="J112" i="1"/>
  <c r="J139" i="1"/>
  <c r="J185" i="1"/>
  <c r="J205" i="1"/>
  <c r="J203" i="1"/>
  <c r="L219" i="1"/>
  <c r="L222" i="1"/>
  <c r="L224" i="1"/>
  <c r="L221" i="1"/>
  <c r="L4" i="1"/>
  <c r="J21" i="1"/>
  <c r="J22" i="1"/>
  <c r="J30" i="1"/>
  <c r="J28" i="1"/>
  <c r="L67" i="1"/>
  <c r="J105" i="1"/>
  <c r="J111" i="1"/>
  <c r="L117" i="1"/>
  <c r="L120" i="1"/>
  <c r="L118" i="1"/>
  <c r="L119" i="1"/>
  <c r="J142" i="1"/>
  <c r="J148" i="1"/>
  <c r="J147" i="1"/>
  <c r="J151" i="1"/>
  <c r="J152" i="1"/>
  <c r="J161" i="1"/>
  <c r="J162" i="1"/>
  <c r="J163" i="1"/>
  <c r="J173" i="1"/>
  <c r="J172" i="1"/>
  <c r="J175" i="1"/>
  <c r="J182" i="1"/>
  <c r="J191" i="1"/>
  <c r="J218" i="1"/>
  <c r="L229" i="1"/>
  <c r="J33" i="1"/>
  <c r="AC289" i="1" l="1"/>
  <c r="AC234" i="1"/>
  <c r="AC134" i="1"/>
  <c r="AC106" i="1"/>
  <c r="AC257" i="1"/>
  <c r="AC209" i="1"/>
  <c r="AC149" i="1"/>
  <c r="AC100" i="1"/>
  <c r="AC199" i="1"/>
  <c r="AC114" i="1"/>
  <c r="AC291" i="1"/>
  <c r="AC259" i="1"/>
  <c r="AC215" i="1"/>
  <c r="AC136" i="1"/>
  <c r="AC99" i="1"/>
  <c r="AC53" i="1"/>
  <c r="AC29" i="1"/>
  <c r="AC212" i="1"/>
  <c r="AC196" i="1"/>
  <c r="AC140" i="1"/>
  <c r="AC84" i="1"/>
  <c r="AC176" i="1"/>
  <c r="AC48" i="1"/>
  <c r="AC261" i="1"/>
  <c r="AC208" i="1"/>
  <c r="AC156" i="1"/>
  <c r="AC129" i="1"/>
  <c r="AC235" i="1"/>
  <c r="AC62" i="1"/>
  <c r="AC5" i="1"/>
  <c r="AC210" i="1"/>
  <c r="AC150" i="1"/>
  <c r="AC96" i="1"/>
  <c r="AC16" i="1"/>
  <c r="AC287" i="1"/>
  <c r="AC248" i="1"/>
  <c r="AC127" i="1"/>
  <c r="AC93" i="1"/>
  <c r="AC195" i="1"/>
  <c r="AC206" i="1"/>
  <c r="AC192" i="1"/>
  <c r="AC122" i="1"/>
  <c r="AC170" i="1"/>
  <c r="AC116" i="1"/>
  <c r="AC69" i="1"/>
  <c r="AC157" i="1"/>
  <c r="AC282" i="1"/>
  <c r="AC154" i="1"/>
  <c r="AC160" i="1"/>
  <c r="AC240" i="1"/>
  <c r="AC181" i="1"/>
  <c r="AC74" i="1"/>
  <c r="AC201" i="1"/>
  <c r="AC155" i="1"/>
  <c r="AC132" i="1"/>
  <c r="AC115" i="1"/>
  <c r="AC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<sst xmlns="http://schemas.openxmlformats.org/spreadsheetml/2006/main" count="3610" uniqueCount="677">
  <si>
    <t>Volcano</t>
  </si>
  <si>
    <t>Velocity (cm/yr)</t>
  </si>
  <si>
    <t>Duration (year)</t>
  </si>
  <si>
    <t>Trend</t>
  </si>
  <si>
    <t>Alu-Dalafilla</t>
  </si>
  <si>
    <t>−1.2 − 1.6</t>
  </si>
  <si>
    <t>&gt;5</t>
  </si>
  <si>
    <t>Linear</t>
  </si>
  <si>
    <t>Dabbahu-Hararo</t>
  </si>
  <si>
    <t>Dallol</t>
  </si>
  <si>
    <t>Erta Ale</t>
  </si>
  <si>
    <t>&gt;2</t>
  </si>
  <si>
    <t>Preruptive inflation</t>
  </si>
  <si>
    <t>−200 + 200</t>
  </si>
  <si>
    <t>&lt;0.03</t>
  </si>
  <si>
    <t>Ramp</t>
  </si>
  <si>
    <t>Coeruptive intrusion</t>
  </si>
  <si>
    <t>posteruptive deflation</t>
  </si>
  <si>
    <t>∼−3</t>
  </si>
  <si>
    <t>lava flow subsidence</t>
  </si>
  <si>
    <t>Gada Ale</t>
  </si>
  <si>
    <t>Nabro</t>
  </si>
  <si>
    <t>Reservoir inflation</t>
  </si>
  <si>
    <t>Aluto</t>
  </si>
  <si>
    <t>Seasonal/linear</t>
  </si>
  <si>
    <t>Corbetti</t>
  </si>
  <si>
    <t>Fentale</t>
  </si>
  <si>
    <t>&lt;0.1</t>
  </si>
  <si>
    <t>+8.5/+9.5 − 3.4/−5.8</t>
  </si>
  <si>
    <t>Cycle</t>
  </si>
  <si>
    <t>Kone</t>
  </si>
  <si>
    <t>&lt;1</t>
  </si>
  <si>
    <t>&gt;3</t>
  </si>
  <si>
    <t>Tullu Moje</t>
  </si>
  <si>
    <t>+5.8 + 1.9</t>
  </si>
  <si>
    <t>Exponential</t>
  </si>
  <si>
    <t>Olkaria</t>
  </si>
  <si>
    <t>Suswa</t>
  </si>
  <si>
    <t>Area (km2)</t>
  </si>
  <si>
    <t>Original Database</t>
  </si>
  <si>
    <t>Albino et al 2021</t>
  </si>
  <si>
    <t>Eruption?</t>
  </si>
  <si>
    <t>Amukta</t>
  </si>
  <si>
    <t>Asosan</t>
  </si>
  <si>
    <t>Atka</t>
  </si>
  <si>
    <t>Augustine</t>
  </si>
  <si>
    <t>Bardarbunga</t>
  </si>
  <si>
    <t>Colima</t>
  </si>
  <si>
    <t>Copahue</t>
  </si>
  <si>
    <t>Etna</t>
  </si>
  <si>
    <t>Fournaise, Piton de la</t>
  </si>
  <si>
    <t>Gareloi</t>
  </si>
  <si>
    <t>Hekla</t>
  </si>
  <si>
    <t>Hudson, Cerro</t>
  </si>
  <si>
    <t>Kanaga</t>
  </si>
  <si>
    <t>Krafla</t>
  </si>
  <si>
    <t>Lonquimay</t>
  </si>
  <si>
    <t>Michoacán-Guanajuato (Paricutín)</t>
  </si>
  <si>
    <t>Miyakejima</t>
  </si>
  <si>
    <t>Nyamuragira</t>
  </si>
  <si>
    <t>Okmok</t>
  </si>
  <si>
    <t>Puyehue-Cordón Caulle</t>
  </si>
  <si>
    <t>Rabaul</t>
  </si>
  <si>
    <t>Redoubt</t>
  </si>
  <si>
    <t>Reventador</t>
  </si>
  <si>
    <t>Santa María</t>
  </si>
  <si>
    <t>Seguam</t>
  </si>
  <si>
    <t>Soufrière Hills</t>
  </si>
  <si>
    <t>St. Helens</t>
  </si>
  <si>
    <t>Tolbachik (with Ostry Tolbachik and Plosky Tolbachik)</t>
  </si>
  <si>
    <t>Tongariro</t>
  </si>
  <si>
    <t>Tungurahua</t>
  </si>
  <si>
    <t>Yunaska</t>
  </si>
  <si>
    <t>Akutan</t>
  </si>
  <si>
    <t>Alcedo</t>
  </si>
  <si>
    <t>Aniakchak</t>
  </si>
  <si>
    <t>Ardoukôba</t>
  </si>
  <si>
    <t>Arenal</t>
  </si>
  <si>
    <t>Askja</t>
  </si>
  <si>
    <t>Campi Flegrei</t>
  </si>
  <si>
    <t>Changbaishan</t>
  </si>
  <si>
    <t>Cleveland</t>
  </si>
  <si>
    <t>Coso Volcanic Field</t>
  </si>
  <si>
    <t>Damavand</t>
  </si>
  <si>
    <t>Emmons Lake</t>
  </si>
  <si>
    <t>Fisher</t>
  </si>
  <si>
    <t>Hengill</t>
  </si>
  <si>
    <t>Hrómundartindur</t>
  </si>
  <si>
    <t>Inyo Craters</t>
  </si>
  <si>
    <t>Izu-Oshima</t>
  </si>
  <si>
    <t>Kupreanof</t>
  </si>
  <si>
    <t>La Palma (Teneguia)</t>
  </si>
  <si>
    <t>Lanzarote</t>
  </si>
  <si>
    <t>Lassen Volcanic Center</t>
  </si>
  <si>
    <t>Lastarria</t>
  </si>
  <si>
    <t>Mageik</t>
  </si>
  <si>
    <t>Makushin</t>
  </si>
  <si>
    <t>Mammoth Mountain</t>
  </si>
  <si>
    <t>Martin</t>
  </si>
  <si>
    <t>Maule, Laguna del</t>
  </si>
  <si>
    <t>Medicine Lake</t>
  </si>
  <si>
    <t>Mono Lake Volcanic Field</t>
  </si>
  <si>
    <t>Natib</t>
  </si>
  <si>
    <t>Cordón de Puntas Negras</t>
  </si>
  <si>
    <t>Pagan</t>
  </si>
  <si>
    <t>Pico</t>
  </si>
  <si>
    <t>Putana</t>
  </si>
  <si>
    <t>Recheschnoi</t>
  </si>
  <si>
    <t>Robledo (Cerro Blanco)</t>
  </si>
  <si>
    <t>Sabancaya</t>
  </si>
  <si>
    <t>Santorini</t>
  </si>
  <si>
    <t>Silali</t>
  </si>
  <si>
    <t>Socorro</t>
  </si>
  <si>
    <t>Sulu Range</t>
  </si>
  <si>
    <t>Tatun Group</t>
  </si>
  <si>
    <t>Okataina caldera, Wairakei caldera, Kapengai caldera</t>
  </si>
  <si>
    <t>Tenduruk Dagi</t>
  </si>
  <si>
    <t>Tenerife</t>
  </si>
  <si>
    <t>Torfajokull</t>
  </si>
  <si>
    <t>Trident</t>
  </si>
  <si>
    <t>Uturuncu</t>
  </si>
  <si>
    <t>Veniaminof</t>
  </si>
  <si>
    <t>Vesuvius</t>
  </si>
  <si>
    <t>Yellowstone</t>
  </si>
  <si>
    <t>Phreatic</t>
  </si>
  <si>
    <t>Effusive</t>
  </si>
  <si>
    <t>Explosive</t>
  </si>
  <si>
    <t>Start date</t>
  </si>
  <si>
    <t>End date</t>
  </si>
  <si>
    <t>1993</t>
  </si>
  <si>
    <t>Jan 1996</t>
    <phoneticPr fontId="0" type="noConversion"/>
  </si>
  <si>
    <t>1997</t>
  </si>
  <si>
    <t>1998</t>
  </si>
  <si>
    <t>1999</t>
  </si>
  <si>
    <t>2003</t>
  </si>
  <si>
    <t>2004</t>
  </si>
  <si>
    <t>1992</t>
  </si>
  <si>
    <t>Sept 2005</t>
  </si>
  <si>
    <t>28 Jan 2006</t>
  </si>
  <si>
    <t>2006</t>
  </si>
  <si>
    <t>16 Aug 2014</t>
  </si>
  <si>
    <t>2002</t>
  </si>
  <si>
    <t>26 Dec 2012</t>
    <phoneticPr fontId="0" type="noConversion"/>
  </si>
  <si>
    <t>1993</t>
    <phoneticPr fontId="0" type="noConversion"/>
  </si>
  <si>
    <t>2003</t>
    <phoneticPr fontId="0" type="noConversion"/>
  </si>
  <si>
    <t>1995</t>
  </si>
  <si>
    <t>1991</t>
    <phoneticPr fontId="0" type="noConversion"/>
  </si>
  <si>
    <t>2000</t>
    <phoneticPr fontId="0" type="noConversion"/>
  </si>
  <si>
    <t>2007</t>
  </si>
  <si>
    <t>Jul 2011</t>
    <phoneticPr fontId="0" type="noConversion"/>
  </si>
  <si>
    <t>Jan 2003</t>
    <phoneticPr fontId="0" type="noConversion"/>
  </si>
  <si>
    <t>2008</t>
  </si>
  <si>
    <t>1996</t>
  </si>
  <si>
    <t>2012</t>
  </si>
  <si>
    <t>2013</t>
  </si>
  <si>
    <t>July 2009</t>
  </si>
  <si>
    <t>2000</t>
  </si>
  <si>
    <t>1998</t>
    <phoneticPr fontId="0" type="noConversion"/>
  </si>
  <si>
    <t>2 Sep 2000</t>
  </si>
  <si>
    <t>21 November 2012</t>
  </si>
  <si>
    <t>1997</t>
    <phoneticPr fontId="0" type="noConversion"/>
  </si>
  <si>
    <t>1991</t>
  </si>
  <si>
    <t>Dec 2005</t>
  </si>
  <si>
    <t>2011</t>
  </si>
  <si>
    <t>2005</t>
  </si>
  <si>
    <t>2010</t>
    <phoneticPr fontId="0" type="noConversion"/>
  </si>
  <si>
    <t>Sep 2004</t>
  </si>
  <si>
    <t>1990</t>
  </si>
  <si>
    <t>Sep 1995</t>
    <phoneticPr fontId="0" type="noConversion"/>
  </si>
  <si>
    <t>1950</t>
  </si>
  <si>
    <t>19 Mar 2003</t>
  </si>
  <si>
    <t>9/13/2009</t>
  </si>
  <si>
    <t>Jan 1993</t>
    <phoneticPr fontId="0" type="noConversion"/>
  </si>
  <si>
    <t>Oct 1993</t>
    <phoneticPr fontId="0" type="noConversion"/>
  </si>
  <si>
    <t>Nov 1998</t>
    <phoneticPr fontId="0" type="noConversion"/>
  </si>
  <si>
    <t>Sep 2000</t>
    <phoneticPr fontId="0" type="noConversion"/>
  </si>
  <si>
    <t>Jul 2005</t>
    <phoneticPr fontId="0" type="noConversion"/>
  </si>
  <si>
    <t>1912</t>
  </si>
  <si>
    <t>Jul 2006</t>
    <phoneticPr fontId="0" type="noConversion"/>
  </si>
  <si>
    <t>2009</t>
  </si>
  <si>
    <t>Jan 2006</t>
  </si>
  <si>
    <t>10 Feb 2006</t>
  </si>
  <si>
    <t>2010</t>
  </si>
  <si>
    <t>17 Oct 2014</t>
  </si>
  <si>
    <t>6 Jan 2013</t>
    <phoneticPr fontId="0" type="noConversion"/>
  </si>
  <si>
    <t>2009</t>
    <phoneticPr fontId="0" type="noConversion"/>
  </si>
  <si>
    <t>2011</t>
    <phoneticPr fontId="0" type="noConversion"/>
  </si>
  <si>
    <t>1995</t>
    <phoneticPr fontId="0" type="noConversion"/>
  </si>
  <si>
    <t>Oct 2012</t>
    <phoneticPr fontId="0" type="noConversion"/>
  </si>
  <si>
    <t>Mar 2010</t>
  </si>
  <si>
    <t>2004</t>
    <phoneticPr fontId="0" type="noConversion"/>
  </si>
  <si>
    <t>2014</t>
  </si>
  <si>
    <t>2015</t>
  </si>
  <si>
    <t>Sept 2010</t>
  </si>
  <si>
    <t>18 Aug 2003</t>
  </si>
  <si>
    <t>1 June 2015</t>
  </si>
  <si>
    <t>2001</t>
  </si>
  <si>
    <t>Apr 2009</t>
  </si>
  <si>
    <t>7 Aug 2000</t>
    <phoneticPr fontId="0" type="noConversion"/>
  </si>
  <si>
    <t>8 Mar 2006</t>
  </si>
  <si>
    <t>1/31/2010</t>
  </si>
  <si>
    <t>Jul 2007</t>
    <phoneticPr fontId="0" type="noConversion"/>
  </si>
  <si>
    <t>Biggs Supp</t>
  </si>
  <si>
    <t>Nisyros</t>
  </si>
  <si>
    <t>Dabbahu</t>
  </si>
  <si>
    <t>Alutu</t>
  </si>
  <si>
    <t>Menengai</t>
  </si>
  <si>
    <t>Longonot</t>
  </si>
  <si>
    <t>Paka</t>
  </si>
  <si>
    <t>Uzon</t>
  </si>
  <si>
    <t>Kiska</t>
  </si>
  <si>
    <t>Tanaga</t>
  </si>
  <si>
    <t>Westdahl</t>
  </si>
  <si>
    <t>Three Sisters</t>
  </si>
  <si>
    <t>Kilauea</t>
  </si>
  <si>
    <t>Mauna Loa</t>
  </si>
  <si>
    <t>Pacaya</t>
  </si>
  <si>
    <t>Galeras</t>
  </si>
  <si>
    <t>Fernandina</t>
  </si>
  <si>
    <t>Wolf</t>
  </si>
  <si>
    <t>Darwin</t>
  </si>
  <si>
    <t>Llaima</t>
  </si>
  <si>
    <t>Offset and area for Biggs Supp come from Ebmieier et al 2018</t>
  </si>
  <si>
    <t>Eruption type of volcano (most recent or associated)</t>
  </si>
  <si>
    <t>Offset</t>
  </si>
  <si>
    <t>Major axis size (km)</t>
  </si>
  <si>
    <t>&lt;2</t>
  </si>
  <si>
    <t>Minor axis size (km)</t>
  </si>
  <si>
    <t>Location</t>
  </si>
  <si>
    <t>Volcano Number (GVP)</t>
  </si>
  <si>
    <t>Not in GVP catalogue</t>
  </si>
  <si>
    <r>
      <t xml:space="preserve">Italic </t>
    </r>
    <r>
      <rPr>
        <sz val="12"/>
        <color theme="1"/>
        <rFont val="Calibri"/>
        <family val="2"/>
        <scheme val="minor"/>
      </rPr>
      <t>are uncertain GVP numbers</t>
    </r>
  </si>
  <si>
    <t>Biggs supp</t>
  </si>
  <si>
    <t>Caldera</t>
  </si>
  <si>
    <t>Stratovolcano</t>
  </si>
  <si>
    <t>Complex</t>
  </si>
  <si>
    <t>Stratovolcano(es)</t>
  </si>
  <si>
    <t>Shield(s)</t>
  </si>
  <si>
    <t>Shield</t>
  </si>
  <si>
    <t>Explosion crater(s)</t>
  </si>
  <si>
    <t>Fissure vent(s)</t>
  </si>
  <si>
    <t>Pyroclastic cone</t>
  </si>
  <si>
    <t>Pyroclastic cone(s)</t>
  </si>
  <si>
    <t>Lava dome(s)</t>
  </si>
  <si>
    <t>Pyroclastic shield</t>
  </si>
  <si>
    <t>Crater rows</t>
  </si>
  <si>
    <t>Notes</t>
  </si>
  <si>
    <t>Source of deformation</t>
  </si>
  <si>
    <t>Alaska</t>
  </si>
  <si>
    <t>Subduction zone / Intermediate crust (15-25 km)</t>
  </si>
  <si>
    <t>Andesite / Basaltic Andesite</t>
  </si>
  <si>
    <t>Basalt / Picro-Basalt</t>
  </si>
  <si>
    <t>Subduction zone / Continental crust (&gt;25 km)</t>
  </si>
  <si>
    <t>Dacite</t>
  </si>
  <si>
    <t>Rift zone / Continental crust (&gt;25 km)</t>
  </si>
  <si>
    <t>Trachyte / Trachydacite</t>
  </si>
  <si>
    <t>Rhyolite</t>
  </si>
  <si>
    <t>Intraplate / Oceanic crust (&lt; 15 km)</t>
  </si>
  <si>
    <t>Rift zone / Oceanic crust (&lt; 15 km)</t>
  </si>
  <si>
    <t>Trachybasalt / Tephrite Basanite</t>
  </si>
  <si>
    <t>Subduction zone / Oceanic crust (&lt; 15 km)</t>
  </si>
  <si>
    <t>Phonolite</t>
  </si>
  <si>
    <t>Intraplate / Intermediate crust (15-25 km)</t>
  </si>
  <si>
    <t>Intraplate / Continental crust (&gt;25 km)</t>
  </si>
  <si>
    <t>Phono-tephrite /  Tephri-phonolite</t>
  </si>
  <si>
    <t>Trachyandesite / Basaltic Trachyandesite</t>
  </si>
  <si>
    <t>Rift zone / Intermediate crust (15-25 km)</t>
  </si>
  <si>
    <t>No Data (checked)</t>
  </si>
  <si>
    <t>Subduction zone / Crustal thickness unknown</t>
  </si>
  <si>
    <t>Not on GVP</t>
  </si>
  <si>
    <t>Mediterranean and Western Asia</t>
  </si>
  <si>
    <t>Africa and Red Sea</t>
  </si>
  <si>
    <t>Middle East and Indian Ocean</t>
  </si>
  <si>
    <t>New Zealand to Fiji</t>
  </si>
  <si>
    <t>Melanesia and Australia</t>
  </si>
  <si>
    <t>Japan, Taiwan, Marianas</t>
  </si>
  <si>
    <t>Kamchatka and Mainland Asia</t>
  </si>
  <si>
    <t>Canada and Western USA</t>
  </si>
  <si>
    <t>México and Central America</t>
  </si>
  <si>
    <t>South America</t>
  </si>
  <si>
    <t>West Indies</t>
  </si>
  <si>
    <t>Iceland and Arctic Ocean</t>
  </si>
  <si>
    <t>Atlantic Ocean</t>
  </si>
  <si>
    <t>VolcanoType</t>
  </si>
  <si>
    <t>Inferred source depth only uses those with single source solutions from Ebmeier 2018; it uses the mean value if a range of depths for a single source is given</t>
  </si>
  <si>
    <t>Max displacement (cm)</t>
  </si>
  <si>
    <t>uplift</t>
    <phoneticPr fontId="5" type="noConversion"/>
  </si>
  <si>
    <t>subsidence</t>
    <phoneticPr fontId="5" type="noConversion"/>
  </si>
  <si>
    <t>subsidence; uplift</t>
    <phoneticPr fontId="5" type="noConversion"/>
  </si>
  <si>
    <t>horizontal</t>
    <phoneticPr fontId="5" type="noConversion"/>
  </si>
  <si>
    <t>subsidence</t>
  </si>
  <si>
    <t>subsidence; horizontal</t>
    <phoneticPr fontId="5" type="noConversion"/>
  </si>
  <si>
    <t>uplift; subsidence</t>
    <phoneticPr fontId="5" type="noConversion"/>
  </si>
  <si>
    <t>uplift</t>
  </si>
  <si>
    <t>Subsidence</t>
  </si>
  <si>
    <t>uplift; horizontal</t>
    <phoneticPr fontId="5" type="noConversion"/>
  </si>
  <si>
    <t>hydrothermal</t>
    <phoneticPr fontId="5" type="noConversion"/>
  </si>
  <si>
    <t>magma (eruption)</t>
    <phoneticPr fontId="5" type="noConversion"/>
  </si>
  <si>
    <t>magma (non-eruption); faulting</t>
    <phoneticPr fontId="5" type="noConversion"/>
  </si>
  <si>
    <t>magma (non-eruption)</t>
    <phoneticPr fontId="5" type="noConversion"/>
  </si>
  <si>
    <t>surface deposits</t>
    <phoneticPr fontId="5" type="noConversion"/>
  </si>
  <si>
    <t>gravity</t>
    <phoneticPr fontId="5" type="noConversion"/>
  </si>
  <si>
    <t>magma (non-eruption)</t>
  </si>
  <si>
    <t>hydrothermal system</t>
  </si>
  <si>
    <t>magma (non-eruption); hydrothermal</t>
    <phoneticPr fontId="5" type="noConversion"/>
  </si>
  <si>
    <t>faulting</t>
    <phoneticPr fontId="5" type="noConversion"/>
  </si>
  <si>
    <t>magma (non-eruption); surface deposits</t>
    <phoneticPr fontId="5" type="noConversion"/>
  </si>
  <si>
    <t>hydrothermal</t>
  </si>
  <si>
    <t>surface deposits</t>
  </si>
  <si>
    <t>other</t>
    <phoneticPr fontId="5" type="noConversion"/>
  </si>
  <si>
    <t>magma (non-eruption); anthropogenic</t>
    <phoneticPr fontId="5" type="noConversion"/>
  </si>
  <si>
    <t>surface deposits; magma (non-eruption)</t>
    <phoneticPr fontId="5" type="noConversion"/>
  </si>
  <si>
    <t>gravity (landslide)</t>
    <phoneticPr fontId="5" type="noConversion"/>
  </si>
  <si>
    <t>magma (post-eruption)</t>
  </si>
  <si>
    <t>caldera collapse</t>
  </si>
  <si>
    <t>gravity (slump)</t>
    <phoneticPr fontId="5" type="noConversion"/>
  </si>
  <si>
    <t>faulting</t>
  </si>
  <si>
    <t>Blue velocity = estimated</t>
  </si>
  <si>
    <t>Aira (Sakurajima)</t>
  </si>
  <si>
    <t>Alu</t>
  </si>
  <si>
    <t>Ambrym</t>
  </si>
  <si>
    <t>Asamayama</t>
  </si>
  <si>
    <t>Azul, Cerro</t>
  </si>
  <si>
    <t>Chaitén</t>
  </si>
  <si>
    <t>Dalaffilla</t>
  </si>
  <si>
    <t>Eyjafjallajokull</t>
  </si>
  <si>
    <t>Fogo</t>
  </si>
  <si>
    <t>Ibu</t>
  </si>
  <si>
    <t>Kelud</t>
  </si>
  <si>
    <t>Kirishimayama</t>
  </si>
  <si>
    <t>Kujusan</t>
  </si>
  <si>
    <t>Láscar</t>
  </si>
  <si>
    <t>Lengai, Ol Doinyo and Gelai volcano</t>
  </si>
  <si>
    <t>Lunayyir, Harrat</t>
  </si>
  <si>
    <t>Manda Hararo</t>
  </si>
  <si>
    <t>Negra, Sierra</t>
  </si>
  <si>
    <t>Semisopochnoi</t>
  </si>
  <si>
    <t>Tair, Jebel at</t>
  </si>
  <si>
    <t>Unzendake</t>
  </si>
  <si>
    <t>Alban Hills</t>
  </si>
  <si>
    <t>Bora-Bericcio</t>
  </si>
  <si>
    <t>Corbetti Caldera</t>
  </si>
  <si>
    <t>Douglas</t>
  </si>
  <si>
    <t>Fourpeaked</t>
  </si>
  <si>
    <t>Hierro</t>
  </si>
  <si>
    <t>Ioto (Iwo Jima)</t>
  </si>
  <si>
    <t>Iwatesan</t>
  </si>
  <si>
    <t>Kverkfjoll (Upptyppingar)</t>
  </si>
  <si>
    <t>Pantelleria</t>
  </si>
  <si>
    <t>Sillajhuay</t>
  </si>
  <si>
    <t>Spurr</t>
  </si>
  <si>
    <t>Theistareykjarbunga</t>
  </si>
  <si>
    <t>Ticsani</t>
  </si>
  <si>
    <t>Ugashik-Peulik</t>
  </si>
  <si>
    <t>uplift; subsidence</t>
  </si>
  <si>
    <t>Uplift</t>
    <phoneticPr fontId="5" type="noConversion"/>
  </si>
  <si>
    <t>magma (eruption)</t>
  </si>
  <si>
    <t>faulting; magma (eruption)</t>
    <phoneticPr fontId="5" type="noConversion"/>
  </si>
  <si>
    <t>gravity (flank movement)</t>
  </si>
  <si>
    <t>surface deposits?</t>
  </si>
  <si>
    <t>magma</t>
  </si>
  <si>
    <t>hydrothermal; magma (non-eruption)</t>
    <phoneticPr fontId="5" type="noConversion"/>
  </si>
  <si>
    <t>Jun 2006</t>
    <phoneticPr fontId="5" type="noConversion"/>
  </si>
  <si>
    <t>Mar 2011</t>
    <phoneticPr fontId="5" type="noConversion"/>
  </si>
  <si>
    <t>Jul 2008</t>
    <phoneticPr fontId="5" type="noConversion"/>
  </si>
  <si>
    <t>Sep 2008</t>
    <phoneticPr fontId="5" type="noConversion"/>
  </si>
  <si>
    <t>Nov 2008</t>
    <phoneticPr fontId="5" type="noConversion"/>
  </si>
  <si>
    <t>19 Nov 2008</t>
    <phoneticPr fontId="5" type="noConversion"/>
  </si>
  <si>
    <t>1 Sept 2010</t>
  </si>
  <si>
    <t>Dec 2009</t>
  </si>
  <si>
    <t>1902</t>
  </si>
  <si>
    <t>1943</t>
    <phoneticPr fontId="5" type="noConversion"/>
  </si>
  <si>
    <t>1967</t>
    <phoneticPr fontId="5" type="noConversion"/>
  </si>
  <si>
    <t>July 1992</t>
  </si>
  <si>
    <t>Oct 1997</t>
    <phoneticPr fontId="5" type="noConversion"/>
  </si>
  <si>
    <t>Nov 1998</t>
    <phoneticPr fontId="5" type="noConversion"/>
  </si>
  <si>
    <t>4/16/2008</t>
  </si>
  <si>
    <t>7/17/2008</t>
  </si>
  <si>
    <t>2011.5</t>
  </si>
  <si>
    <t>2014.5</t>
  </si>
  <si>
    <t>Sep 2005</t>
    <phoneticPr fontId="5" type="noConversion"/>
  </si>
  <si>
    <t>2001</t>
    <phoneticPr fontId="5" type="noConversion"/>
  </si>
  <si>
    <t>3 Aug 1993</t>
    <phoneticPr fontId="5" type="noConversion"/>
  </si>
  <si>
    <t>6 Jun 1995</t>
    <phoneticPr fontId="5" type="noConversion"/>
  </si>
  <si>
    <t>19 Jul 1999</t>
    <phoneticPr fontId="5" type="noConversion"/>
  </si>
  <si>
    <t>May 2000</t>
    <phoneticPr fontId="5" type="noConversion"/>
  </si>
  <si>
    <t>12 Sep 1992</t>
    <phoneticPr fontId="5" type="noConversion"/>
  </si>
  <si>
    <t>30 Sep 1997</t>
    <phoneticPr fontId="5" type="noConversion"/>
  </si>
  <si>
    <t>26 Sep 1998</t>
    <phoneticPr fontId="5" type="noConversion"/>
  </si>
  <si>
    <t>20 Mar 1999</t>
    <phoneticPr fontId="5" type="noConversion"/>
  </si>
  <si>
    <t>2005</t>
    <phoneticPr fontId="5" type="noConversion"/>
  </si>
  <si>
    <t>23 Jun 1993</t>
    <phoneticPr fontId="5" type="noConversion"/>
  </si>
  <si>
    <t>3 Nov 1995</t>
    <phoneticPr fontId="5" type="noConversion"/>
  </si>
  <si>
    <t>8 Nov 2014</t>
  </si>
  <si>
    <t>2 December 2014</t>
  </si>
  <si>
    <t>Aug 2003</t>
    <phoneticPr fontId="5" type="noConversion"/>
  </si>
  <si>
    <t>Sep 2003</t>
    <phoneticPr fontId="5" type="noConversion"/>
  </si>
  <si>
    <t>4 Dec 2007</t>
    <phoneticPr fontId="5" type="noConversion"/>
  </si>
  <si>
    <t>19 Jan 2008</t>
    <phoneticPr fontId="5" type="noConversion"/>
  </si>
  <si>
    <t>1998</t>
    <phoneticPr fontId="5" type="noConversion"/>
  </si>
  <si>
    <t>1999</t>
    <phoneticPr fontId="5" type="noConversion"/>
  </si>
  <si>
    <t>Aug 2007</t>
  </si>
  <si>
    <t>Oct 2007</t>
    <phoneticPr fontId="5" type="noConversion"/>
  </si>
  <si>
    <t>Jan 2008</t>
    <phoneticPr fontId="5" type="noConversion"/>
  </si>
  <si>
    <t>Apr 2008</t>
    <phoneticPr fontId="5" type="noConversion"/>
  </si>
  <si>
    <t>Jan 2007</t>
  </si>
  <si>
    <t>May 2007</t>
  </si>
  <si>
    <t>22 Jan 2000</t>
    <phoneticPr fontId="5" type="noConversion"/>
  </si>
  <si>
    <t>28 Sep 2003</t>
    <phoneticPr fontId="5" type="noConversion"/>
  </si>
  <si>
    <t>3 Jun 2007</t>
    <phoneticPr fontId="5" type="noConversion"/>
  </si>
  <si>
    <t>27 Jun 2007</t>
    <phoneticPr fontId="5" type="noConversion"/>
  </si>
  <si>
    <t>21 Jul 2007</t>
    <phoneticPr fontId="5" type="noConversion"/>
  </si>
  <si>
    <t>20 Jul 2007</t>
    <phoneticPr fontId="5" type="noConversion"/>
  </si>
  <si>
    <t>17 Mar 2008</t>
  </si>
  <si>
    <t>5 Mar 2011</t>
    <phoneticPr fontId="5" type="noConversion"/>
  </si>
  <si>
    <t>9 Mar 2011</t>
    <phoneticPr fontId="5" type="noConversion"/>
  </si>
  <si>
    <t>Jan 2010</t>
  </si>
  <si>
    <t>Apr 2011</t>
    <phoneticPr fontId="5" type="noConversion"/>
  </si>
  <si>
    <t>1993</t>
    <phoneticPr fontId="5" type="noConversion"/>
  </si>
  <si>
    <t>20 Sep 1995</t>
    <phoneticPr fontId="5" type="noConversion"/>
  </si>
  <si>
    <t>20 Nov 1997</t>
  </si>
  <si>
    <t>8 Jul 1995</t>
    <phoneticPr fontId="5" type="noConversion"/>
  </si>
  <si>
    <t>16 Sep 1995</t>
    <phoneticPr fontId="5" type="noConversion"/>
  </si>
  <si>
    <t>20 Apr 1993</t>
    <phoneticPr fontId="5" type="noConversion"/>
  </si>
  <si>
    <t>26 Apr 2009</t>
  </si>
  <si>
    <t>14 Jul 2007</t>
    <phoneticPr fontId="5" type="noConversion"/>
  </si>
  <si>
    <t>4 Aug 2007</t>
    <phoneticPr fontId="5" type="noConversion"/>
  </si>
  <si>
    <t>Feb 2008</t>
    <phoneticPr fontId="5" type="noConversion"/>
  </si>
  <si>
    <t>8 May 2009</t>
    <phoneticPr fontId="5" type="noConversion"/>
  </si>
  <si>
    <t>17 Jun 2009</t>
    <phoneticPr fontId="5" type="noConversion"/>
  </si>
  <si>
    <t>Sep 1995</t>
    <phoneticPr fontId="5" type="noConversion"/>
  </si>
  <si>
    <t>2/12/2004</t>
  </si>
  <si>
    <t>1/27/2005</t>
  </si>
  <si>
    <t>5/12/2005</t>
  </si>
  <si>
    <t>9/24/2005</t>
  </si>
  <si>
    <t>10/29/2005</t>
  </si>
  <si>
    <t>19 Oct 1996</t>
    <phoneticPr fontId="5" type="noConversion"/>
  </si>
  <si>
    <t>28 Feb 1997</t>
    <phoneticPr fontId="5" type="noConversion"/>
  </si>
  <si>
    <t>22 Oct 1997</t>
    <phoneticPr fontId="5" type="noConversion"/>
  </si>
  <si>
    <t>11 Nov 1998</t>
    <phoneticPr fontId="5" type="noConversion"/>
  </si>
  <si>
    <t>2002</t>
    <phoneticPr fontId="5" type="noConversion"/>
  </si>
  <si>
    <t>1995</t>
    <phoneticPr fontId="5" type="noConversion"/>
  </si>
  <si>
    <t>1997</t>
    <phoneticPr fontId="5" type="noConversion"/>
  </si>
  <si>
    <t>Jun 2007</t>
    <phoneticPr fontId="5" type="noConversion"/>
  </si>
  <si>
    <t>10 Jul 2008</t>
    <phoneticPr fontId="5" type="noConversion"/>
  </si>
  <si>
    <t>27 May 2010</t>
  </si>
  <si>
    <t>29 May 2010</t>
  </si>
  <si>
    <t>31 May 2010</t>
  </si>
  <si>
    <t>8 March 2011</t>
  </si>
  <si>
    <t>8 March 2013</t>
  </si>
  <si>
    <t>10 April 2014</t>
  </si>
  <si>
    <t>6 July 2010</t>
  </si>
  <si>
    <t>2/10/2010</t>
  </si>
  <si>
    <t>3/31/2010</t>
  </si>
  <si>
    <t>3/9/2011</t>
  </si>
  <si>
    <t>5/8/2011</t>
  </si>
  <si>
    <t>25 Jan 2010</t>
  </si>
  <si>
    <t>25 March 2012</t>
  </si>
  <si>
    <t>Aug 2008</t>
  </si>
  <si>
    <t>4 Jul 1999</t>
    <phoneticPr fontId="5" type="noConversion"/>
  </si>
  <si>
    <t>17 Oct 1999</t>
    <phoneticPr fontId="5" type="noConversion"/>
  </si>
  <si>
    <t>2 Jun 2000</t>
    <phoneticPr fontId="5" type="noConversion"/>
  </si>
  <si>
    <t>7 Jul 2000</t>
    <phoneticPr fontId="5" type="noConversion"/>
  </si>
  <si>
    <t>2004</t>
    <phoneticPr fontId="5" type="noConversion"/>
  </si>
  <si>
    <t>7 Sep 2007</t>
    <phoneticPr fontId="5" type="noConversion"/>
  </si>
  <si>
    <t>23 Oct 2007</t>
    <phoneticPr fontId="5" type="noConversion"/>
  </si>
  <si>
    <t>27 November 2012</t>
  </si>
  <si>
    <t>1 Sept 2013</t>
  </si>
  <si>
    <t>27 Dec 2007</t>
    <phoneticPr fontId="5" type="noConversion"/>
  </si>
  <si>
    <t>27 Mar 2008</t>
    <phoneticPr fontId="5" type="noConversion"/>
  </si>
  <si>
    <t>22 Jul 1993</t>
    <phoneticPr fontId="5" type="noConversion"/>
  </si>
  <si>
    <t>1 Dec 1993</t>
  </si>
  <si>
    <t>21 Nov 1991</t>
    <phoneticPr fontId="5" type="noConversion"/>
  </si>
  <si>
    <t>30 Nov 1991</t>
    <phoneticPr fontId="5" type="noConversion"/>
  </si>
  <si>
    <t>Jun 1995</t>
    <phoneticPr fontId="5" type="noConversion"/>
  </si>
  <si>
    <t>Sep 1996</t>
    <phoneticPr fontId="5" type="noConversion"/>
  </si>
  <si>
    <t>17 Dec 2003</t>
    <phoneticPr fontId="5" type="noConversion"/>
  </si>
  <si>
    <t>18 Sep 2004</t>
    <phoneticPr fontId="5" type="noConversion"/>
  </si>
  <si>
    <t>22 Sep 2004</t>
    <phoneticPr fontId="5" type="noConversion"/>
  </si>
  <si>
    <t>5 Mar 2008</t>
    <phoneticPr fontId="5" type="noConversion"/>
  </si>
  <si>
    <t>14 May 2008</t>
    <phoneticPr fontId="5" type="noConversion"/>
  </si>
  <si>
    <t>1 Dec 2008</t>
    <phoneticPr fontId="5" type="noConversion"/>
  </si>
  <si>
    <t>14 Jan 2009</t>
    <phoneticPr fontId="5" type="noConversion"/>
  </si>
  <si>
    <t>28 Jul 2010</t>
    <phoneticPr fontId="5" type="noConversion"/>
  </si>
  <si>
    <t>1983</t>
  </si>
  <si>
    <t>Nov 2006</t>
    <phoneticPr fontId="5" type="noConversion"/>
  </si>
  <si>
    <t>26 Dec 2007</t>
    <phoneticPr fontId="5" type="noConversion"/>
  </si>
  <si>
    <t>Jun 1992</t>
    <phoneticPr fontId="5" type="noConversion"/>
  </si>
  <si>
    <t>Dec 1999</t>
    <phoneticPr fontId="5" type="noConversion"/>
  </si>
  <si>
    <t>Mar 2000</t>
    <phoneticPr fontId="5" type="noConversion"/>
  </si>
  <si>
    <t>Aug 2000</t>
    <phoneticPr fontId="5" type="noConversion"/>
  </si>
  <si>
    <t>2006</t>
    <phoneticPr fontId="5" type="noConversion"/>
  </si>
  <si>
    <t>16 Aug 1995</t>
  </si>
  <si>
    <t>20 Aug 1998</t>
  </si>
  <si>
    <t>Aug 2006</t>
  </si>
  <si>
    <t>June 2010</t>
  </si>
  <si>
    <t>2009</t>
    <phoneticPr fontId="5" type="noConversion"/>
  </si>
  <si>
    <t>16 Apr 2004</t>
    <phoneticPr fontId="5" type="noConversion"/>
  </si>
  <si>
    <t>6 May 2005</t>
    <phoneticPr fontId="5" type="noConversion"/>
  </si>
  <si>
    <t>1 Dec 2004</t>
    <phoneticPr fontId="5" type="noConversion"/>
  </si>
  <si>
    <t>Jul 1998</t>
    <phoneticPr fontId="5" type="noConversion"/>
  </si>
  <si>
    <t>Jun 1993</t>
    <phoneticPr fontId="5" type="noConversion"/>
  </si>
  <si>
    <t>May 1996</t>
    <phoneticPr fontId="5" type="noConversion"/>
  </si>
  <si>
    <t>Jul 2007</t>
    <phoneticPr fontId="5" type="noConversion"/>
  </si>
  <si>
    <t>Aug 2010</t>
    <phoneticPr fontId="5" type="noConversion"/>
  </si>
  <si>
    <t>4 May 2011</t>
    <phoneticPr fontId="5" type="noConversion"/>
  </si>
  <si>
    <t>8 Aug 2011</t>
    <phoneticPr fontId="5" type="noConversion"/>
  </si>
  <si>
    <t>31 Aug 2011</t>
    <phoneticPr fontId="5" type="noConversion"/>
  </si>
  <si>
    <t>30 Oct 2011</t>
    <phoneticPr fontId="5" type="noConversion"/>
  </si>
  <si>
    <t>1977</t>
  </si>
  <si>
    <t>28 Jun 1993</t>
  </si>
  <si>
    <t>16 Jul 1995</t>
  </si>
  <si>
    <t>Apr 1998</t>
    <phoneticPr fontId="5" type="noConversion"/>
  </si>
  <si>
    <t>2003</t>
    <phoneticPr fontId="5" type="noConversion"/>
  </si>
  <si>
    <t>Feb 2007</t>
    <phoneticPr fontId="5" type="noConversion"/>
  </si>
  <si>
    <t>1 Oct 2007</t>
    <phoneticPr fontId="5" type="noConversion"/>
  </si>
  <si>
    <t>11 Aug 2008</t>
    <phoneticPr fontId="5" type="noConversion"/>
  </si>
  <si>
    <t>28 Jun 2004</t>
    <phoneticPr fontId="5" type="noConversion"/>
  </si>
  <si>
    <t>20 Mar 2006</t>
    <phoneticPr fontId="5" type="noConversion"/>
  </si>
  <si>
    <t>Oct 1993</t>
    <phoneticPr fontId="5" type="noConversion"/>
  </si>
  <si>
    <t>2000</t>
    <phoneticPr fontId="5" type="noConversion"/>
  </si>
  <si>
    <t>10 Nov 2000</t>
  </si>
  <si>
    <t>4 Dec 2000</t>
  </si>
  <si>
    <t>29 May 2006</t>
    <phoneticPr fontId="5" type="noConversion"/>
  </si>
  <si>
    <t>5 Mar 2007</t>
    <phoneticPr fontId="5" type="noConversion"/>
  </si>
  <si>
    <t>15 Aug 1995</t>
    <phoneticPr fontId="5" type="noConversion"/>
  </si>
  <si>
    <t>2 Mar 1999</t>
    <phoneticPr fontId="5" type="noConversion"/>
  </si>
  <si>
    <t>6 Dec 2002</t>
    <phoneticPr fontId="5" type="noConversion"/>
  </si>
  <si>
    <t>12 Sep 2003</t>
    <phoneticPr fontId="5" type="noConversion"/>
  </si>
  <si>
    <t>14 Jan 2012</t>
    <phoneticPr fontId="5" type="noConversion"/>
  </si>
  <si>
    <t>12 May 2013</t>
    <phoneticPr fontId="5" type="noConversion"/>
  </si>
  <si>
    <t>17 Jul 2013</t>
    <phoneticPr fontId="5" type="noConversion"/>
  </si>
  <si>
    <t>Feb 2010</t>
    <phoneticPr fontId="5" type="noConversion"/>
  </si>
  <si>
    <t>May 2010</t>
    <phoneticPr fontId="5" type="noConversion"/>
  </si>
  <si>
    <t>2011</t>
    <phoneticPr fontId="5" type="noConversion"/>
  </si>
  <si>
    <t>2012</t>
    <phoneticPr fontId="5" type="noConversion"/>
  </si>
  <si>
    <t>Nov 2005</t>
    <phoneticPr fontId="5" type="noConversion"/>
  </si>
  <si>
    <t>1996</t>
    <phoneticPr fontId="5" type="noConversion"/>
  </si>
  <si>
    <t>6/29/2005</t>
  </si>
  <si>
    <t>11/22/2005</t>
  </si>
  <si>
    <t>Hertali (Haledebi)</t>
  </si>
  <si>
    <t>Offset (km)</t>
  </si>
  <si>
    <t>7 to 12</t>
  </si>
  <si>
    <t>2 to 10</t>
  </si>
  <si>
    <t>Nevado del Ruiz</t>
  </si>
  <si>
    <t>Sabancaya (Hualca Hualca)</t>
  </si>
  <si>
    <t>Cordón del Azufre (Lazufre)</t>
  </si>
  <si>
    <t>Purple depth = mean</t>
  </si>
  <si>
    <t>Source depth max (km)</t>
  </si>
  <si>
    <t>Source depth min (km)</t>
  </si>
  <si>
    <t>Multiple sources</t>
  </si>
  <si>
    <t>Tectonicsetting</t>
  </si>
  <si>
    <t>Majorrocktype</t>
  </si>
  <si>
    <t>Type of rate (mean, max, estimated)</t>
  </si>
  <si>
    <t>Estimated</t>
  </si>
  <si>
    <t>Africa</t>
  </si>
  <si>
    <t>Changed from original source (due to inferred inaccuracy)</t>
  </si>
  <si>
    <t>Cluster</t>
  </si>
  <si>
    <t>Direction (original)</t>
  </si>
  <si>
    <t>Direction (modified)</t>
  </si>
  <si>
    <t>Horizontal only</t>
  </si>
  <si>
    <t>Multiple</t>
  </si>
  <si>
    <t>Japan</t>
  </si>
  <si>
    <t>Unspecified</t>
  </si>
  <si>
    <t>Aspect ratio</t>
  </si>
  <si>
    <t>Oct 2005</t>
  </si>
  <si>
    <t>Rate (cm/yr)</t>
  </si>
  <si>
    <t>Max abs displacement (cm)</t>
  </si>
  <si>
    <t>Absolute rate</t>
  </si>
  <si>
    <t>Event</t>
  </si>
  <si>
    <t>-</t>
  </si>
  <si>
    <t>:</t>
  </si>
  <si>
    <t>Foidite</t>
  </si>
  <si>
    <t>Volcanic field</t>
  </si>
  <si>
    <t>Caldera(s)</t>
  </si>
  <si>
    <t>Tacora</t>
  </si>
  <si>
    <t>Taapaca</t>
  </si>
  <si>
    <t>Parinacota</t>
  </si>
  <si>
    <t>Guallatiri</t>
  </si>
  <si>
    <t>Isluga</t>
  </si>
  <si>
    <t>Tata Sabaya</t>
  </si>
  <si>
    <t>Irruputuncu</t>
  </si>
  <si>
    <t>Olca-Paruma</t>
  </si>
  <si>
    <t>Sairecabur</t>
  </si>
  <si>
    <t>Licancabur</t>
  </si>
  <si>
    <t>Guayaques</t>
  </si>
  <si>
    <t>Purico Complex</t>
  </si>
  <si>
    <t>Colachi</t>
  </si>
  <si>
    <t>Acamarachi</t>
  </si>
  <si>
    <t>Chiliques</t>
  </si>
  <si>
    <t>Lascar</t>
  </si>
  <si>
    <t>Cordon de Puntas Negras</t>
  </si>
  <si>
    <t>Miniques</t>
  </si>
  <si>
    <t>Tujle, Cerro</t>
  </si>
  <si>
    <t>Caichinque</t>
  </si>
  <si>
    <t>Tilocalar</t>
  </si>
  <si>
    <t>Pular</t>
  </si>
  <si>
    <t>Negrillar, La</t>
  </si>
  <si>
    <t>Socompa</t>
  </si>
  <si>
    <t>Llullaillaco</t>
  </si>
  <si>
    <t>Corrida de Cori Volcanic Field</t>
  </si>
  <si>
    <t>Cordon del Azufre</t>
  </si>
  <si>
    <t>Bayo Gorbea, Cerro</t>
  </si>
  <si>
    <t>Nevada, Sierra</t>
  </si>
  <si>
    <t>Falso Azufre</t>
  </si>
  <si>
    <t>Incahuasi, Nevado de</t>
  </si>
  <si>
    <t>Ojos del Salado, Nevados</t>
  </si>
  <si>
    <t>Solo, El</t>
  </si>
  <si>
    <t>Tuzgle</t>
  </si>
  <si>
    <t>Aracar</t>
  </si>
  <si>
    <t>Unnamed</t>
  </si>
  <si>
    <t>Antofagasta Volcanic Field</t>
  </si>
  <si>
    <t>Condor, El</t>
  </si>
  <si>
    <t>Peinado</t>
  </si>
  <si>
    <t>Blanco, Cerro</t>
  </si>
  <si>
    <t>Tipas</t>
  </si>
  <si>
    <t>Tupungatito</t>
  </si>
  <si>
    <t>San Jose</t>
  </si>
  <si>
    <t>Maipo</t>
  </si>
  <si>
    <t>Palomo</t>
  </si>
  <si>
    <t>Atuel, Caldera del</t>
  </si>
  <si>
    <t>Risco Plateado</t>
  </si>
  <si>
    <t>Tinguiririca</t>
  </si>
  <si>
    <t>Planchon-Peteroa</t>
  </si>
  <si>
    <t>Infiernillo</t>
  </si>
  <si>
    <t>Calabozos</t>
  </si>
  <si>
    <t>Descabezado Grande</t>
  </si>
  <si>
    <t>San Pedro-Pellado</t>
  </si>
  <si>
    <t>Longavi, Nevado de</t>
  </si>
  <si>
    <t>Blancas, Lomas</t>
  </si>
  <si>
    <t>Resago, Volcan</t>
  </si>
  <si>
    <t>Payun Matru</t>
  </si>
  <si>
    <t>Chillan, Nevados de</t>
  </si>
  <si>
    <t>Tromen Volcanic Plateau</t>
  </si>
  <si>
    <t>Antuco</t>
  </si>
  <si>
    <t>Callaqui</t>
  </si>
  <si>
    <t>Tolhuaca</t>
  </si>
  <si>
    <t>Blanca, Laguna</t>
  </si>
  <si>
    <t>Sollipulli</t>
  </si>
  <si>
    <t>Caburgua-Huelemolle</t>
  </si>
  <si>
    <t>Villarrica</t>
  </si>
  <si>
    <t>Quetrupillan</t>
  </si>
  <si>
    <t>Lanin</t>
  </si>
  <si>
    <t>Huanquihue Group</t>
  </si>
  <si>
    <t>Mocho-Choshuenco</t>
  </si>
  <si>
    <t>Carran-Los Venados</t>
  </si>
  <si>
    <t>Puyehue-Cordon Caulle</t>
  </si>
  <si>
    <t>Antillanca Volcanic Complex</t>
  </si>
  <si>
    <t>Puntiagudo-Cordon Cenizos</t>
  </si>
  <si>
    <t>Osorno</t>
  </si>
  <si>
    <t>Tronador</t>
  </si>
  <si>
    <t>Cayutue-La Vigueria</t>
  </si>
  <si>
    <t>Calbuco</t>
  </si>
  <si>
    <t>Yate</t>
  </si>
  <si>
    <t>Hornopiren</t>
  </si>
  <si>
    <t>Apagado</t>
  </si>
  <si>
    <t>Crater Basalt Volcanic Field</t>
  </si>
  <si>
    <t>Huequi</t>
  </si>
  <si>
    <t>Michinmahuida</t>
  </si>
  <si>
    <t>Chaiten</t>
  </si>
  <si>
    <t>Yanteles</t>
  </si>
  <si>
    <t>Corcovado</t>
  </si>
  <si>
    <t>Melimoyu</t>
  </si>
  <si>
    <t>Puyuhuapi</t>
  </si>
  <si>
    <t>Mentolat</t>
  </si>
  <si>
    <t>Cay</t>
  </si>
  <si>
    <t>Maca</t>
  </si>
  <si>
    <t>Lautaro</t>
  </si>
  <si>
    <t>Aguilera</t>
  </si>
  <si>
    <t>Reclus</t>
  </si>
  <si>
    <t>Meullin</t>
  </si>
  <si>
    <t>Burney, Monte</t>
  </si>
  <si>
    <t>Pali-Aike Volcanic Field</t>
  </si>
  <si>
    <t>Fueguino</t>
  </si>
  <si>
    <t>Volc No</t>
  </si>
  <si>
    <t>Volc Name</t>
  </si>
  <si>
    <t>Previous deformation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</si>
</sst>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Verdana"/>
      <family val="2"/>
    </font>
    <font>
      <b/>
      <sz val="12"/>
      <color rgb="FF000000"/>
      <name val="Arial"/>
      <family val="2"/>
    </font>
    <font>
      <sz val="11"/>
      <name val="Verdana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theme="4"/>
      <name val="Calibri"/>
      <family val="2"/>
      <scheme val="minor"/>
    </font>
    <font>
      <sz val="10"/>
      <name val="Verdana"/>
      <family val="2"/>
    </font>
    <font>
      <b/>
      <sz val="12"/>
      <color theme="1"/>
      <name val="Arial"/>
      <family val="2"/>
    </font>
    <font>
      <sz val="12"/>
      <color rgb="FF7030A0"/>
      <name val="Calibri"/>
      <family val="2"/>
      <scheme val="minor"/>
    </font>
    <font>
      <i/>
      <sz val="12"/>
      <color rgb="FFC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4"/>
      <name val="Arial"/>
      <family val="2"/>
    </font>
    <font>
      <sz val="12"/>
      <color theme="8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49" fontId="0" fillId="0" borderId="0" xfId="0" applyNumberFormat="1"/>
    <xf numFmtId="14" fontId="0" fillId="0" borderId="0" xfId="0" applyNumberFormat="1"/>
    <xf numFmtId="0" fontId="9" fillId="2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2" fontId="0" fillId="0" borderId="0" xfId="0" applyNumberFormat="1"/>
    <xf numFmtId="0" fontId="14" fillId="0" borderId="0" xfId="0" applyFont="1" applyAlignment="1">
      <alignment horizontal="left" vertical="top"/>
    </xf>
    <xf numFmtId="0" fontId="8" fillId="0" borderId="0" xfId="0" applyFont="1" applyAlignment="1">
      <alignment wrapText="1"/>
    </xf>
    <xf numFmtId="2" fontId="3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2" fontId="10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164" fontId="10" fillId="0" borderId="0" xfId="0" applyNumberFormat="1" applyFont="1"/>
    <xf numFmtId="49" fontId="1" fillId="0" borderId="0" xfId="0" applyNumberFormat="1" applyFont="1"/>
    <xf numFmtId="49" fontId="14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49" fontId="8" fillId="0" borderId="0" xfId="0" applyNumberFormat="1" applyFont="1"/>
    <xf numFmtId="49" fontId="3" fillId="0" borderId="0" xfId="0" applyNumberFormat="1" applyFont="1"/>
    <xf numFmtId="49" fontId="2" fillId="0" borderId="0" xfId="1" applyNumberFormat="1"/>
    <xf numFmtId="49" fontId="7" fillId="0" borderId="0" xfId="0" applyNumberFormat="1" applyFont="1"/>
    <xf numFmtId="0" fontId="16" fillId="0" borderId="0" xfId="0" applyFont="1"/>
    <xf numFmtId="2" fontId="16" fillId="0" borderId="0" xfId="0" applyNumberFormat="1" applyFont="1"/>
    <xf numFmtId="0" fontId="17" fillId="0" borderId="0" xfId="0" applyFont="1"/>
    <xf numFmtId="16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/>
    <xf numFmtId="1" fontId="9" fillId="2" borderId="0" xfId="0" applyNumberFormat="1" applyFont="1" applyFill="1" applyAlignment="1">
      <alignment wrapText="1"/>
    </xf>
    <xf numFmtId="2" fontId="0" fillId="0" borderId="1" xfId="0" applyNumberFormat="1" applyBorder="1"/>
    <xf numFmtId="0" fontId="0" fillId="0" borderId="1" xfId="0" applyBorder="1"/>
    <xf numFmtId="0" fontId="20" fillId="0" borderId="0" xfId="0" applyFont="1"/>
    <xf numFmtId="0" fontId="21" fillId="0" borderId="0" xfId="0" applyFont="1"/>
    <xf numFmtId="0" fontId="0" fillId="3" borderId="0" xfId="0" applyFill="1"/>
    <xf numFmtId="0" fontId="22" fillId="0" borderId="0" xfId="0" applyFont="1"/>
    <xf numFmtId="0" fontId="23" fillId="0" borderId="0" xfId="0" applyFont="1"/>
    <xf numFmtId="0" fontId="15" fillId="0" borderId="0" xfId="0" applyFont="1" applyAlignment="1">
      <alignment horizontal="left" vertical="top"/>
    </xf>
    <xf numFmtId="2" fontId="3" fillId="0" borderId="1" xfId="0" applyNumberFormat="1" applyFont="1" applyBorder="1"/>
    <xf numFmtId="0" fontId="14" fillId="0" borderId="0" xfId="0" applyFont="1" applyAlignment="1">
      <alignment horizontal="left"/>
    </xf>
    <xf numFmtId="0" fontId="24" fillId="0" borderId="0" xfId="0" applyFont="1"/>
    <xf numFmtId="2" fontId="1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Africa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Sheet4!$D$2:$D$11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Sheet4!$A$2:$A$11</c:f>
              <c:numCache>
                <c:formatCode>General</c:formatCode>
                <c:ptCount val="10"/>
                <c:pt idx="0">
                  <c:v>0.36482461980483061</c:v>
                </c:pt>
                <c:pt idx="1">
                  <c:v>0.58513987641454146</c:v>
                </c:pt>
                <c:pt idx="2">
                  <c:v>0.79276063469055014</c:v>
                </c:pt>
                <c:pt idx="3">
                  <c:v>0.70007307194016655</c:v>
                </c:pt>
                <c:pt idx="4">
                  <c:v>0.10803908107005322</c:v>
                </c:pt>
                <c:pt idx="5">
                  <c:v>7.5064557654965891E-2</c:v>
                </c:pt>
                <c:pt idx="6">
                  <c:v>0.7341571830610587</c:v>
                </c:pt>
                <c:pt idx="7">
                  <c:v>0.448261130440051</c:v>
                </c:pt>
                <c:pt idx="8">
                  <c:v>0.52406408774316249</c:v>
                </c:pt>
                <c:pt idx="9">
                  <c:v>0.2390945815188481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7-5143-909B-E33608E1676E}"/>
            </c:ext>
          </c:extLst>
        </c:ser>
        <c:ser>
          <c:idx val="1"/>
          <c:order val="1"/>
          <c:tx>
            <c:v>Alaska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Sheet4!$D$2:$D$11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Sheet4!$B$2:$B$11</c:f>
              <c:numCache>
                <c:formatCode>General</c:formatCode>
                <c:ptCount val="10"/>
                <c:pt idx="0">
                  <c:v>0.2985006771015305</c:v>
                </c:pt>
                <c:pt idx="1">
                  <c:v>0.73210167002035265</c:v>
                </c:pt>
                <c:pt idx="2">
                  <c:v>0.10537193433876124</c:v>
                </c:pt>
                <c:pt idx="3">
                  <c:v>0.30378905700354308</c:v>
                </c:pt>
                <c:pt idx="4">
                  <c:v>0.2720113516339564</c:v>
                </c:pt>
                <c:pt idx="5">
                  <c:v>0.7909901435099399</c:v>
                </c:pt>
                <c:pt idx="6">
                  <c:v>2.3719095735286189E-6</c:v>
                </c:pt>
                <c:pt idx="7">
                  <c:v>0.32712432347873788</c:v>
                </c:pt>
                <c:pt idx="8">
                  <c:v>9.9925822392933017E-2</c:v>
                </c:pt>
                <c:pt idx="9">
                  <c:v>0.44533369808333201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7-5143-909B-E33608E1676E}"/>
            </c:ext>
          </c:extLst>
        </c:ser>
        <c:ser>
          <c:idx val="2"/>
          <c:order val="2"/>
          <c:tx>
            <c:v>Japan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Sheet4!$D$2:$D$11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Sheet4!$C$2:$C$11</c:f>
              <c:numCache>
                <c:formatCode>General</c:formatCode>
                <c:ptCount val="10"/>
                <c:pt idx="0">
                  <c:v>0.20771652274587149</c:v>
                </c:pt>
                <c:pt idx="1">
                  <c:v>0.6446741372286745</c:v>
                </c:pt>
                <c:pt idx="2">
                  <c:v>0.40748620510774036</c:v>
                </c:pt>
                <c:pt idx="3">
                  <c:v>8.52262695435968E-3</c:v>
                </c:pt>
                <c:pt idx="4">
                  <c:v>0.35643391398795699</c:v>
                </c:pt>
                <c:pt idx="5">
                  <c:v>0.77423321355391728</c:v>
                </c:pt>
                <c:pt idx="6">
                  <c:v>1.9860193155085692E-4</c:v>
                </c:pt>
                <c:pt idx="7">
                  <c:v>0.41388471057193232</c:v>
                </c:pt>
                <c:pt idx="8">
                  <c:v>0.49017735074395863</c:v>
                </c:pt>
                <c:pt idx="9">
                  <c:v>0.95521468181892366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7-5143-909B-E33608E16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126448"/>
        <c:axId val="907593312"/>
      </c:barChart>
      <c:catAx>
        <c:axId val="74612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</a:rPr>
                  <a:t>Cluster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593312"/>
        <c:crosses val="autoZero"/>
        <c:auto val="1"/>
        <c:lblAlgn val="ctr"/>
        <c:lblOffset val="100"/>
        <c:noMultiLvlLbl val="0"/>
      </c:catAx>
      <c:valAx>
        <c:axId val="9075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755650</xdr:colOff>
      <xdr:row>1</xdr:row>
      <xdr:rowOff>31750</xdr:rowOff>
    </xdr:from>
    <xdr:to>
      <xdr:col>19</xdr:col>
      <xdr:colOff>38100</xdr:colOff>
      <xdr:row>31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77033-1ACB-338B-41F6-E61E48AA8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gupubs.onlinelibrary.wiley.com/doi/full/10.1029/2020GC009488" TargetMode="External"/><Relationship Id="rId2" Type="http://schemas.openxmlformats.org/officeDocument/2006/relationships/hyperlink" Target="https://agupubs.onlinelibrary.wiley.com/doi/full/10.1029/2020GC009488" TargetMode="External"/><Relationship Id="rId1" Type="http://schemas.openxmlformats.org/officeDocument/2006/relationships/hyperlink" Target="https://agupubs.onlinelibrary.wiley.com/doi/full/10.1029/2020GC009488" TargetMode="External"/><Relationship Id="rId6" Type="http://schemas.openxmlformats.org/officeDocument/2006/relationships/hyperlink" Target="https://agupubs.onlinelibrary.wiley.com/doi/full/10.1029/2020GC009488" TargetMode="External"/><Relationship Id="rId5" Type="http://schemas.openxmlformats.org/officeDocument/2006/relationships/hyperlink" Target="https://agupubs.onlinelibrary.wiley.com/doi/full/10.1029/2020GC009488" TargetMode="External"/><Relationship Id="rId4" Type="http://schemas.openxmlformats.org/officeDocument/2006/relationships/hyperlink" Target="https://agupubs.onlinelibrary.wiley.com/doi/full/10.1029/2020GC00948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F36B-725B-554B-A302-622B132CCEB3}">
  <sheetPr codeName="Sheet1"/>
  <dimension ref="A1:AP294"/>
  <sheetViews>
    <sheetView tabSelected="1" zoomScale="80" zoomScaleNormal="80" workbookViewId="0">
      <pane ySplit="1" topLeftCell="A93" activePane="bottomLeft" state="frozen"/>
      <selection pane="bottomLeft" activeCell="A115" sqref="A115"/>
    </sheetView>
  </sheetViews>
  <sheetFormatPr baseColWidth="10" defaultRowHeight="16" x14ac:dyDescent="0.2"/>
  <cols>
    <col min="2" max="2" width="48.33203125" bestFit="1" customWidth="1"/>
    <col min="3" max="3" width="20.33203125" customWidth="1"/>
    <col min="4" max="4" width="17.5" customWidth="1"/>
    <col min="5" max="5" width="16" customWidth="1"/>
    <col min="6" max="6" width="19.5" customWidth="1"/>
    <col min="7" max="7" width="16.5" customWidth="1"/>
    <col min="8" max="8" width="15.6640625" customWidth="1"/>
    <col min="9" max="9" width="17.83203125" customWidth="1"/>
    <col min="10" max="10" width="20" customWidth="1"/>
    <col min="11" max="11" width="15.6640625" customWidth="1"/>
    <col min="12" max="12" width="16.83203125" customWidth="1"/>
    <col min="13" max="13" width="27.83203125" customWidth="1"/>
    <col min="14" max="14" width="28.5" customWidth="1"/>
    <col min="15" max="15" width="33.1640625" customWidth="1"/>
    <col min="16" max="16" width="10.6640625" customWidth="1"/>
    <col min="17" max="17" width="12.6640625" customWidth="1"/>
    <col min="18" max="18" width="49.1640625" customWidth="1"/>
    <col min="19" max="19" width="26.83203125" customWidth="1"/>
    <col min="20" max="20" width="16" customWidth="1"/>
    <col min="21" max="21" width="40.1640625" customWidth="1"/>
    <col min="22" max="22" width="32.6640625" customWidth="1"/>
    <col min="23" max="23" width="36" customWidth="1"/>
    <col min="24" max="24" width="21.1640625" customWidth="1"/>
    <col min="25" max="25" width="20" bestFit="1" customWidth="1"/>
    <col min="26" max="26" width="35.33203125" bestFit="1" customWidth="1"/>
    <col min="27" max="27" width="20.83203125" bestFit="1" customWidth="1"/>
    <col min="28" max="29" width="16.5" customWidth="1"/>
    <col min="30" max="30" width="33.83203125" customWidth="1"/>
    <col min="33" max="33" width="16.5" customWidth="1"/>
  </cols>
  <sheetData>
    <row r="1" spans="1:42" s="1" customFormat="1" ht="51" x14ac:dyDescent="0.2">
      <c r="A1" s="36" t="s">
        <v>229</v>
      </c>
      <c r="B1" s="28" t="s">
        <v>0</v>
      </c>
      <c r="C1" s="7" t="s">
        <v>566</v>
      </c>
      <c r="D1" s="7" t="s">
        <v>127</v>
      </c>
      <c r="E1" s="7" t="s">
        <v>128</v>
      </c>
      <c r="F1" s="7" t="s">
        <v>2</v>
      </c>
      <c r="G1" s="7" t="s">
        <v>3</v>
      </c>
      <c r="H1" s="7" t="s">
        <v>541</v>
      </c>
      <c r="I1" s="17" t="s">
        <v>225</v>
      </c>
      <c r="J1" s="17" t="s">
        <v>227</v>
      </c>
      <c r="K1" s="7" t="s">
        <v>38</v>
      </c>
      <c r="L1" s="7" t="s">
        <v>564</v>
      </c>
      <c r="M1" s="7" t="s">
        <v>549</v>
      </c>
      <c r="N1" s="7" t="s">
        <v>548</v>
      </c>
      <c r="O1" s="7" t="s">
        <v>567</v>
      </c>
      <c r="P1" s="7" t="s">
        <v>224</v>
      </c>
      <c r="Q1" s="1" t="s">
        <v>41</v>
      </c>
      <c r="R1" s="1" t="s">
        <v>223</v>
      </c>
      <c r="S1" s="1" t="s">
        <v>228</v>
      </c>
      <c r="T1" s="25" t="s">
        <v>283</v>
      </c>
      <c r="U1" s="25" t="s">
        <v>551</v>
      </c>
      <c r="V1" s="25" t="s">
        <v>552</v>
      </c>
      <c r="W1" s="25" t="s">
        <v>553</v>
      </c>
      <c r="X1" s="25" t="s">
        <v>559</v>
      </c>
      <c r="Y1" s="25" t="s">
        <v>558</v>
      </c>
      <c r="Z1" s="4" t="s">
        <v>247</v>
      </c>
      <c r="AA1" s="7" t="s">
        <v>1</v>
      </c>
      <c r="AB1" s="7" t="s">
        <v>285</v>
      </c>
      <c r="AC1" s="7" t="s">
        <v>568</v>
      </c>
      <c r="AD1" s="7" t="s">
        <v>569</v>
      </c>
      <c r="AE1" s="1" t="s">
        <v>39</v>
      </c>
      <c r="AF1" s="1" t="s">
        <v>246</v>
      </c>
    </row>
    <row r="2" spans="1:42" s="43" customFormat="1" x14ac:dyDescent="0.2">
      <c r="A2">
        <v>282080</v>
      </c>
      <c r="B2" t="s">
        <v>318</v>
      </c>
      <c r="C2" s="33"/>
      <c r="D2" s="8" t="s">
        <v>362</v>
      </c>
      <c r="E2" s="8" t="s">
        <v>363</v>
      </c>
      <c r="F2">
        <v>4.7506849315068491</v>
      </c>
      <c r="G2"/>
      <c r="H2"/>
      <c r="I2" s="10">
        <v>30</v>
      </c>
      <c r="J2" s="10"/>
      <c r="K2" s="38">
        <f>PI()*(I2/2)^2</f>
        <v>706.85834705770344</v>
      </c>
      <c r="L2" s="32">
        <v>1</v>
      </c>
      <c r="M2">
        <v>5</v>
      </c>
      <c r="N2">
        <v>9</v>
      </c>
      <c r="O2">
        <v>1.5</v>
      </c>
      <c r="P2"/>
      <c r="Q2" s="34">
        <v>1</v>
      </c>
      <c r="R2"/>
      <c r="S2"/>
      <c r="T2" s="16" t="s">
        <v>233</v>
      </c>
      <c r="U2" s="16" t="s">
        <v>252</v>
      </c>
      <c r="V2" s="16" t="s">
        <v>250</v>
      </c>
      <c r="W2" s="27" t="s">
        <v>554</v>
      </c>
      <c r="X2" s="27" t="s">
        <v>293</v>
      </c>
      <c r="Y2" t="s">
        <v>293</v>
      </c>
      <c r="Z2" t="s">
        <v>299</v>
      </c>
      <c r="AA2" s="33"/>
      <c r="AB2">
        <v>1.5</v>
      </c>
      <c r="AC2">
        <f t="shared" ref="AC2:AC12" si="0">ABS(C2)</f>
        <v>0</v>
      </c>
      <c r="AD2" t="str">
        <f t="shared" ref="AD2:AD65" si="1">_xlfn.CONCAT(B2,$AK$3,D2,$AK$2,E2)</f>
        <v>Aira (Sakurajima):Jun 2006-Mar 2011</v>
      </c>
      <c r="AE2" t="s">
        <v>202</v>
      </c>
      <c r="AF2" t="s">
        <v>222</v>
      </c>
      <c r="AG2"/>
      <c r="AH2"/>
      <c r="AI2"/>
      <c r="AJ2"/>
      <c r="AK2" t="s">
        <v>570</v>
      </c>
      <c r="AL2"/>
      <c r="AM2"/>
      <c r="AN2"/>
      <c r="AO2"/>
      <c r="AP2" s="14" t="s">
        <v>231</v>
      </c>
    </row>
    <row r="3" spans="1:42" s="43" customFormat="1" x14ac:dyDescent="0.2">
      <c r="A3">
        <v>282080</v>
      </c>
      <c r="B3" t="s">
        <v>318</v>
      </c>
      <c r="C3" s="33"/>
      <c r="D3" s="8" t="s">
        <v>145</v>
      </c>
      <c r="E3" s="8" t="s">
        <v>132</v>
      </c>
      <c r="F3">
        <v>3</v>
      </c>
      <c r="G3"/>
      <c r="H3"/>
      <c r="I3" s="10">
        <v>30</v>
      </c>
      <c r="J3" s="10"/>
      <c r="K3" s="38">
        <f>PI()*(I3/2)^2</f>
        <v>706.85834705770344</v>
      </c>
      <c r="L3" s="32">
        <v>1</v>
      </c>
      <c r="M3">
        <v>5</v>
      </c>
      <c r="N3">
        <v>9</v>
      </c>
      <c r="O3">
        <v>2</v>
      </c>
      <c r="P3"/>
      <c r="Q3" s="34">
        <v>1</v>
      </c>
      <c r="R3"/>
      <c r="S3"/>
      <c r="T3" s="16" t="s">
        <v>233</v>
      </c>
      <c r="U3" s="16" t="s">
        <v>252</v>
      </c>
      <c r="V3" s="16" t="s">
        <v>250</v>
      </c>
      <c r="W3" s="27" t="s">
        <v>554</v>
      </c>
      <c r="X3" s="27" t="s">
        <v>293</v>
      </c>
      <c r="Y3" t="s">
        <v>293</v>
      </c>
      <c r="Z3" t="s">
        <v>299</v>
      </c>
      <c r="AA3" s="33"/>
      <c r="AB3">
        <v>2</v>
      </c>
      <c r="AC3">
        <f t="shared" si="0"/>
        <v>0</v>
      </c>
      <c r="AD3" t="str">
        <f t="shared" si="1"/>
        <v>Aira (Sakurajima):1995-1998</v>
      </c>
      <c r="AE3" t="s">
        <v>202</v>
      </c>
      <c r="AF3" t="s">
        <v>222</v>
      </c>
      <c r="AG3"/>
      <c r="AH3"/>
      <c r="AI3"/>
      <c r="AJ3"/>
      <c r="AK3" t="s">
        <v>571</v>
      </c>
      <c r="AL3"/>
      <c r="AM3"/>
      <c r="AN3"/>
      <c r="AO3"/>
      <c r="AP3" s="13" t="s">
        <v>230</v>
      </c>
    </row>
    <row r="4" spans="1:42" x14ac:dyDescent="0.2">
      <c r="A4">
        <v>311320</v>
      </c>
      <c r="B4" s="8" t="s">
        <v>73</v>
      </c>
      <c r="C4" s="15">
        <v>1</v>
      </c>
      <c r="D4" s="8" t="s">
        <v>136</v>
      </c>
      <c r="E4" s="8" t="s">
        <v>179</v>
      </c>
      <c r="F4" s="19">
        <v>17</v>
      </c>
      <c r="I4">
        <v>8</v>
      </c>
      <c r="J4" s="10">
        <v>5</v>
      </c>
      <c r="K4" s="15">
        <v>31</v>
      </c>
      <c r="L4">
        <f>I4/J4</f>
        <v>1.6</v>
      </c>
      <c r="M4" s="10">
        <v>5</v>
      </c>
      <c r="N4" s="10">
        <v>7</v>
      </c>
      <c r="O4" s="42">
        <f>C4*F4</f>
        <v>17</v>
      </c>
      <c r="Q4" s="22">
        <v>1</v>
      </c>
      <c r="S4" s="16" t="s">
        <v>248</v>
      </c>
      <c r="T4" s="26" t="s">
        <v>234</v>
      </c>
      <c r="U4" s="26" t="s">
        <v>249</v>
      </c>
      <c r="V4" s="26" t="s">
        <v>251</v>
      </c>
      <c r="W4" s="26"/>
      <c r="X4" s="27" t="s">
        <v>293</v>
      </c>
      <c r="Y4" t="s">
        <v>293</v>
      </c>
      <c r="Z4" s="26" t="s">
        <v>563</v>
      </c>
      <c r="AA4" s="15">
        <v>1</v>
      </c>
      <c r="AB4" s="42"/>
      <c r="AC4">
        <f t="shared" si="0"/>
        <v>1</v>
      </c>
      <c r="AD4" t="str">
        <f t="shared" si="1"/>
        <v>Akutan:1992-2009</v>
      </c>
      <c r="AE4" t="s">
        <v>202</v>
      </c>
      <c r="AF4" t="s">
        <v>222</v>
      </c>
      <c r="AP4" s="12" t="s">
        <v>284</v>
      </c>
    </row>
    <row r="5" spans="1:42" x14ac:dyDescent="0.2">
      <c r="A5">
        <v>311320</v>
      </c>
      <c r="B5" t="s">
        <v>73</v>
      </c>
      <c r="C5" s="32"/>
      <c r="D5" s="8" t="s">
        <v>152</v>
      </c>
      <c r="E5" s="8" t="s">
        <v>131</v>
      </c>
      <c r="F5">
        <v>1</v>
      </c>
      <c r="O5">
        <v>2</v>
      </c>
      <c r="Q5" s="34">
        <v>1</v>
      </c>
      <c r="T5" s="26" t="s">
        <v>234</v>
      </c>
      <c r="U5" s="26" t="s">
        <v>249</v>
      </c>
      <c r="V5" s="26" t="s">
        <v>251</v>
      </c>
      <c r="W5" s="27" t="s">
        <v>554</v>
      </c>
      <c r="X5" s="27" t="s">
        <v>294</v>
      </c>
      <c r="Y5" t="s">
        <v>290</v>
      </c>
      <c r="Z5" t="s">
        <v>299</v>
      </c>
      <c r="AA5" s="15">
        <f>-1*C5</f>
        <v>0</v>
      </c>
      <c r="AB5" s="42"/>
      <c r="AC5">
        <f t="shared" si="0"/>
        <v>0</v>
      </c>
      <c r="AD5" t="str">
        <f t="shared" si="1"/>
        <v>Akutan:1996-1997</v>
      </c>
      <c r="AE5" t="s">
        <v>202</v>
      </c>
      <c r="AF5" t="s">
        <v>222</v>
      </c>
      <c r="AP5" s="32" t="s">
        <v>317</v>
      </c>
    </row>
    <row r="6" spans="1:42" x14ac:dyDescent="0.2">
      <c r="A6">
        <v>311320</v>
      </c>
      <c r="B6" s="8" t="s">
        <v>73</v>
      </c>
      <c r="C6" s="15">
        <v>5</v>
      </c>
      <c r="D6" s="8" t="s">
        <v>136</v>
      </c>
      <c r="E6" s="8" t="s">
        <v>179</v>
      </c>
      <c r="F6" s="19">
        <v>17</v>
      </c>
      <c r="J6" s="10"/>
      <c r="M6" s="10"/>
      <c r="N6" s="10"/>
      <c r="O6" s="42">
        <f>C6*F6</f>
        <v>85</v>
      </c>
      <c r="Q6" s="22">
        <v>1</v>
      </c>
      <c r="S6" s="16" t="s">
        <v>248</v>
      </c>
      <c r="T6" s="26" t="s">
        <v>234</v>
      </c>
      <c r="U6" s="26" t="s">
        <v>249</v>
      </c>
      <c r="V6" s="26" t="s">
        <v>251</v>
      </c>
      <c r="W6" s="26"/>
      <c r="X6" s="27" t="s">
        <v>294</v>
      </c>
      <c r="Y6" t="s">
        <v>290</v>
      </c>
      <c r="Z6" t="s">
        <v>307</v>
      </c>
      <c r="AA6" s="15">
        <f>-1*C6</f>
        <v>-5</v>
      </c>
      <c r="AB6" s="42"/>
      <c r="AC6">
        <f t="shared" si="0"/>
        <v>5</v>
      </c>
      <c r="AD6" t="str">
        <f t="shared" si="1"/>
        <v>Akutan:1992-2009</v>
      </c>
      <c r="AE6" t="s">
        <v>202</v>
      </c>
      <c r="AF6" t="s">
        <v>222</v>
      </c>
      <c r="AL6" s="5"/>
      <c r="AP6" s="37" t="s">
        <v>547</v>
      </c>
    </row>
    <row r="7" spans="1:42" x14ac:dyDescent="0.2">
      <c r="A7">
        <v>311320</v>
      </c>
      <c r="B7" t="s">
        <v>73</v>
      </c>
      <c r="C7" s="32"/>
      <c r="D7" s="9" t="s">
        <v>474</v>
      </c>
      <c r="E7" s="9" t="s">
        <v>475</v>
      </c>
      <c r="F7">
        <v>1.2547945205479452</v>
      </c>
      <c r="I7">
        <v>13</v>
      </c>
      <c r="K7">
        <v>133</v>
      </c>
      <c r="L7" s="32">
        <f>768/342</f>
        <v>2.2456140350877192</v>
      </c>
      <c r="O7">
        <v>60</v>
      </c>
      <c r="Q7" s="34">
        <v>1</v>
      </c>
      <c r="T7" s="26" t="s">
        <v>234</v>
      </c>
      <c r="U7" s="26" t="s">
        <v>249</v>
      </c>
      <c r="V7" s="26" t="s">
        <v>251</v>
      </c>
      <c r="W7" s="27" t="s">
        <v>554</v>
      </c>
      <c r="X7" s="27" t="s">
        <v>561</v>
      </c>
      <c r="Y7" t="s">
        <v>292</v>
      </c>
      <c r="Z7" t="s">
        <v>299</v>
      </c>
      <c r="AA7" s="32"/>
      <c r="AB7">
        <v>60</v>
      </c>
      <c r="AC7">
        <f t="shared" si="0"/>
        <v>0</v>
      </c>
      <c r="AD7" t="str">
        <f t="shared" si="1"/>
        <v>Akutan:Jun 1995-Sep 1996</v>
      </c>
      <c r="AE7" t="s">
        <v>202</v>
      </c>
      <c r="AF7" t="s">
        <v>222</v>
      </c>
      <c r="AL7" s="2"/>
      <c r="AP7" s="41" t="s">
        <v>556</v>
      </c>
    </row>
    <row r="8" spans="1:42" x14ac:dyDescent="0.2">
      <c r="A8">
        <v>211004</v>
      </c>
      <c r="B8" t="s">
        <v>339</v>
      </c>
      <c r="C8" s="32"/>
      <c r="D8" s="8" t="s">
        <v>129</v>
      </c>
      <c r="E8" s="8" t="s">
        <v>156</v>
      </c>
      <c r="F8">
        <v>7</v>
      </c>
      <c r="I8">
        <v>40</v>
      </c>
      <c r="K8">
        <v>1257</v>
      </c>
      <c r="L8" s="32">
        <v>1</v>
      </c>
      <c r="M8">
        <v>4.5999999999999996</v>
      </c>
      <c r="N8">
        <v>4.5999999999999996</v>
      </c>
      <c r="O8">
        <v>0.26</v>
      </c>
      <c r="Q8" s="34">
        <v>1</v>
      </c>
      <c r="T8" s="26" t="s">
        <v>233</v>
      </c>
      <c r="U8" s="16" t="s">
        <v>252</v>
      </c>
      <c r="V8" s="26" t="s">
        <v>572</v>
      </c>
      <c r="W8" s="27" t="s">
        <v>554</v>
      </c>
      <c r="X8" s="27" t="s">
        <v>293</v>
      </c>
      <c r="Y8" t="s">
        <v>286</v>
      </c>
      <c r="AA8" s="32"/>
      <c r="AB8">
        <v>0.26</v>
      </c>
      <c r="AC8">
        <f t="shared" si="0"/>
        <v>0</v>
      </c>
      <c r="AD8" t="str">
        <f t="shared" si="1"/>
        <v>Alban Hills:1993-2000</v>
      </c>
      <c r="AE8" t="s">
        <v>202</v>
      </c>
      <c r="AF8" t="s">
        <v>222</v>
      </c>
      <c r="AL8" s="2"/>
    </row>
    <row r="9" spans="1:42" x14ac:dyDescent="0.2">
      <c r="A9">
        <v>353040</v>
      </c>
      <c r="B9" s="8" t="s">
        <v>74</v>
      </c>
      <c r="C9" s="15">
        <v>3</v>
      </c>
      <c r="D9" s="8" t="s">
        <v>160</v>
      </c>
      <c r="E9" s="8" t="s">
        <v>196</v>
      </c>
      <c r="F9" s="19">
        <v>4</v>
      </c>
      <c r="I9">
        <v>6</v>
      </c>
      <c r="J9" s="10"/>
      <c r="K9" s="15">
        <v>28</v>
      </c>
      <c r="L9" s="32">
        <v>1</v>
      </c>
      <c r="M9">
        <v>2.2000000000000002</v>
      </c>
      <c r="N9">
        <v>2.2000000000000002</v>
      </c>
      <c r="O9" s="42">
        <f>C9*F9</f>
        <v>12</v>
      </c>
      <c r="Q9" s="22">
        <v>1</v>
      </c>
      <c r="S9" s="16" t="s">
        <v>279</v>
      </c>
      <c r="T9" s="26" t="s">
        <v>238</v>
      </c>
      <c r="U9" s="26" t="s">
        <v>258</v>
      </c>
      <c r="V9" s="26" t="s">
        <v>251</v>
      </c>
      <c r="W9" s="26"/>
      <c r="X9" s="27" t="s">
        <v>294</v>
      </c>
      <c r="Y9" t="s">
        <v>290</v>
      </c>
      <c r="Z9" t="s">
        <v>299</v>
      </c>
      <c r="AA9" s="15">
        <f>-1*C9</f>
        <v>-3</v>
      </c>
      <c r="AB9" s="42"/>
      <c r="AC9">
        <f t="shared" si="0"/>
        <v>3</v>
      </c>
      <c r="AD9" t="str">
        <f t="shared" si="1"/>
        <v>Alcedo:1997-2001</v>
      </c>
      <c r="AE9" t="s">
        <v>202</v>
      </c>
      <c r="AF9" t="s">
        <v>222</v>
      </c>
      <c r="AL9" s="2"/>
    </row>
    <row r="10" spans="1:42" s="43" customFormat="1" x14ac:dyDescent="0.2">
      <c r="A10">
        <v>353040</v>
      </c>
      <c r="B10" t="s">
        <v>74</v>
      </c>
      <c r="C10" s="32"/>
      <c r="D10" s="8" t="s">
        <v>136</v>
      </c>
      <c r="E10" s="8" t="s">
        <v>132</v>
      </c>
      <c r="F10">
        <v>6</v>
      </c>
      <c r="G10"/>
      <c r="H10"/>
      <c r="I10"/>
      <c r="J10"/>
      <c r="K10"/>
      <c r="L10"/>
      <c r="M10"/>
      <c r="N10"/>
      <c r="O10">
        <v>85</v>
      </c>
      <c r="P10"/>
      <c r="Q10" s="34">
        <v>1</v>
      </c>
      <c r="R10"/>
      <c r="S10"/>
      <c r="T10" s="16" t="s">
        <v>238</v>
      </c>
      <c r="U10" s="16" t="s">
        <v>258</v>
      </c>
      <c r="V10" s="16" t="s">
        <v>251</v>
      </c>
      <c r="W10" s="27" t="s">
        <v>554</v>
      </c>
      <c r="X10" s="27" t="s">
        <v>293</v>
      </c>
      <c r="Y10" t="s">
        <v>293</v>
      </c>
      <c r="Z10" t="s">
        <v>299</v>
      </c>
      <c r="AA10" s="32"/>
      <c r="AB10">
        <v>85</v>
      </c>
      <c r="AC10">
        <f t="shared" si="0"/>
        <v>0</v>
      </c>
      <c r="AD10" t="str">
        <f t="shared" si="1"/>
        <v>Alcedo:1992-1998</v>
      </c>
      <c r="AE10" t="s">
        <v>202</v>
      </c>
      <c r="AF10" t="s">
        <v>222</v>
      </c>
      <c r="AG10"/>
      <c r="AH10"/>
      <c r="AI10"/>
      <c r="AJ10"/>
      <c r="AK10"/>
      <c r="AL10" s="2"/>
      <c r="AM10"/>
      <c r="AN10"/>
      <c r="AO10"/>
      <c r="AP10"/>
    </row>
    <row r="11" spans="1:42" s="43" customFormat="1" x14ac:dyDescent="0.2">
      <c r="A11">
        <v>221060</v>
      </c>
      <c r="B11" t="s">
        <v>319</v>
      </c>
      <c r="C11" s="33"/>
      <c r="D11" s="8" t="s">
        <v>367</v>
      </c>
      <c r="E11" s="8" t="s">
        <v>368</v>
      </c>
      <c r="F11">
        <v>1.7835616438356163</v>
      </c>
      <c r="G11"/>
      <c r="H11"/>
      <c r="I11">
        <v>2</v>
      </c>
      <c r="J11"/>
      <c r="K11">
        <v>3</v>
      </c>
      <c r="L11" s="32">
        <f>2.2/1.4</f>
        <v>1.5714285714285716</v>
      </c>
      <c r="M11">
        <v>1</v>
      </c>
      <c r="N11">
        <v>1</v>
      </c>
      <c r="O11">
        <v>90</v>
      </c>
      <c r="P11"/>
      <c r="Q11" s="34">
        <v>2</v>
      </c>
      <c r="R11"/>
      <c r="S11"/>
      <c r="T11" s="16" t="s">
        <v>240</v>
      </c>
      <c r="U11" s="16" t="s">
        <v>266</v>
      </c>
      <c r="V11" s="16" t="s">
        <v>251</v>
      </c>
      <c r="W11" s="27" t="s">
        <v>554</v>
      </c>
      <c r="X11" s="27" t="s">
        <v>293</v>
      </c>
      <c r="Y11" t="s">
        <v>286</v>
      </c>
      <c r="Z11"/>
      <c r="AA11" s="33"/>
      <c r="AB11">
        <v>90</v>
      </c>
      <c r="AC11">
        <f t="shared" si="0"/>
        <v>0</v>
      </c>
      <c r="AD11" t="str">
        <f t="shared" si="1"/>
        <v>Alu:19 Nov 2008-1 Sept 2010</v>
      </c>
      <c r="AE11" t="s">
        <v>202</v>
      </c>
      <c r="AF11" t="s">
        <v>222</v>
      </c>
      <c r="AG11"/>
      <c r="AH11"/>
      <c r="AI11"/>
      <c r="AJ11"/>
      <c r="AK11"/>
      <c r="AL11"/>
      <c r="AM11"/>
      <c r="AN11"/>
      <c r="AO11"/>
      <c r="AP11"/>
    </row>
    <row r="12" spans="1:42" s="43" customFormat="1" x14ac:dyDescent="0.2">
      <c r="A12">
        <v>221060</v>
      </c>
      <c r="B12" t="s">
        <v>319</v>
      </c>
      <c r="C12" s="33"/>
      <c r="D12" s="8" t="s">
        <v>364</v>
      </c>
      <c r="E12" s="8" t="s">
        <v>365</v>
      </c>
      <c r="F12">
        <v>0.16986301369863013</v>
      </c>
      <c r="G12"/>
      <c r="H12"/>
      <c r="I12"/>
      <c r="J12"/>
      <c r="K12"/>
      <c r="M12">
        <v>1</v>
      </c>
      <c r="N12">
        <v>1</v>
      </c>
      <c r="O12">
        <v>9</v>
      </c>
      <c r="P12"/>
      <c r="Q12" s="34">
        <v>2</v>
      </c>
      <c r="R12"/>
      <c r="S12"/>
      <c r="T12" s="16" t="s">
        <v>240</v>
      </c>
      <c r="U12" s="16" t="s">
        <v>266</v>
      </c>
      <c r="V12" s="16" t="s">
        <v>251</v>
      </c>
      <c r="W12" s="27" t="s">
        <v>554</v>
      </c>
      <c r="X12" s="27" t="s">
        <v>293</v>
      </c>
      <c r="Y12" t="s">
        <v>286</v>
      </c>
      <c r="Z12"/>
      <c r="AA12" s="33"/>
      <c r="AB12">
        <v>9</v>
      </c>
      <c r="AC12">
        <f t="shared" si="0"/>
        <v>0</v>
      </c>
      <c r="AD12" t="str">
        <f t="shared" si="1"/>
        <v>Alu:Jul 2008-Sep 2008</v>
      </c>
      <c r="AE12" t="s">
        <v>202</v>
      </c>
      <c r="AF12" t="s">
        <v>222</v>
      </c>
      <c r="AG12"/>
      <c r="AH12"/>
      <c r="AI12"/>
      <c r="AJ12"/>
      <c r="AK12"/>
      <c r="AL12"/>
      <c r="AM12"/>
      <c r="AN12"/>
      <c r="AO12"/>
      <c r="AP12"/>
    </row>
    <row r="13" spans="1:42" s="43" customFormat="1" x14ac:dyDescent="0.2">
      <c r="A13" s="5">
        <v>221060</v>
      </c>
      <c r="B13" s="29" t="s">
        <v>4</v>
      </c>
      <c r="C13" s="2" t="s">
        <v>5</v>
      </c>
      <c r="D13" s="2"/>
      <c r="E13" s="2"/>
      <c r="F13" s="2" t="s">
        <v>6</v>
      </c>
      <c r="G13" s="2" t="s">
        <v>7</v>
      </c>
      <c r="H13" s="2">
        <v>0</v>
      </c>
      <c r="I13"/>
      <c r="J13"/>
      <c r="K13" s="18">
        <v>25</v>
      </c>
      <c r="L13" s="2"/>
      <c r="M13" s="2"/>
      <c r="N13" s="2"/>
      <c r="O13" s="2"/>
      <c r="P13" s="2">
        <v>0</v>
      </c>
      <c r="Q13" s="22">
        <v>1</v>
      </c>
      <c r="R13" s="2" t="s">
        <v>125</v>
      </c>
      <c r="S13" s="16" t="s">
        <v>271</v>
      </c>
      <c r="T13" s="26" t="s">
        <v>240</v>
      </c>
      <c r="U13" s="26" t="s">
        <v>266</v>
      </c>
      <c r="V13" s="26" t="s">
        <v>251</v>
      </c>
      <c r="W13" s="26"/>
      <c r="X13" s="26" t="s">
        <v>563</v>
      </c>
      <c r="Y13" s="26"/>
      <c r="Z13" s="26" t="s">
        <v>563</v>
      </c>
      <c r="AA13" s="2" t="s">
        <v>5</v>
      </c>
      <c r="AB13" s="2"/>
      <c r="AC13"/>
      <c r="AD13" t="str">
        <f t="shared" si="1"/>
        <v>Alu-Dalafilla:-</v>
      </c>
      <c r="AE13" t="s">
        <v>40</v>
      </c>
      <c r="AF13"/>
      <c r="AG13"/>
      <c r="AH13"/>
      <c r="AI13"/>
      <c r="AJ13"/>
      <c r="AK13"/>
      <c r="AL13"/>
      <c r="AM13"/>
      <c r="AN13"/>
      <c r="AO13"/>
      <c r="AP13"/>
    </row>
    <row r="14" spans="1:42" x14ac:dyDescent="0.2">
      <c r="A14">
        <v>221270</v>
      </c>
      <c r="B14" s="29" t="s">
        <v>23</v>
      </c>
      <c r="C14" s="18">
        <v>-0.8</v>
      </c>
      <c r="D14" s="2"/>
      <c r="E14" s="2"/>
      <c r="F14" s="2" t="s">
        <v>6</v>
      </c>
      <c r="G14" s="2" t="s">
        <v>24</v>
      </c>
      <c r="H14" s="2">
        <v>0</v>
      </c>
      <c r="K14" s="18">
        <v>20</v>
      </c>
      <c r="L14" s="2"/>
      <c r="M14" s="2"/>
      <c r="N14" s="2"/>
      <c r="O14" s="2"/>
      <c r="P14" s="2">
        <v>0</v>
      </c>
      <c r="Q14" s="23">
        <v>1</v>
      </c>
      <c r="S14" s="16" t="s">
        <v>271</v>
      </c>
      <c r="T14" s="26" t="s">
        <v>234</v>
      </c>
      <c r="U14" s="26" t="s">
        <v>254</v>
      </c>
      <c r="V14" s="26" t="s">
        <v>256</v>
      </c>
      <c r="W14" s="26"/>
      <c r="X14" s="26" t="s">
        <v>294</v>
      </c>
      <c r="Y14" s="26"/>
      <c r="Z14" s="26" t="s">
        <v>563</v>
      </c>
      <c r="AA14" s="18">
        <v>-0.8</v>
      </c>
      <c r="AB14" s="2"/>
      <c r="AC14">
        <f t="shared" ref="AC14:AC45" si="2">ABS(C14)</f>
        <v>0.8</v>
      </c>
      <c r="AD14" t="str">
        <f t="shared" si="1"/>
        <v>Aluto:-</v>
      </c>
      <c r="AE14" t="s">
        <v>40</v>
      </c>
    </row>
    <row r="15" spans="1:42" x14ac:dyDescent="0.2">
      <c r="A15">
        <v>221270</v>
      </c>
      <c r="B15" t="s">
        <v>205</v>
      </c>
      <c r="C15" s="32"/>
      <c r="D15" s="8" t="s">
        <v>478</v>
      </c>
      <c r="E15" s="8" t="s">
        <v>479</v>
      </c>
      <c r="F15">
        <v>3.4520547945205502</v>
      </c>
      <c r="I15">
        <v>16</v>
      </c>
      <c r="K15">
        <v>201</v>
      </c>
      <c r="L15" s="32">
        <v>1</v>
      </c>
      <c r="M15">
        <v>2.5</v>
      </c>
      <c r="N15">
        <v>2.5</v>
      </c>
      <c r="O15">
        <v>4.7</v>
      </c>
      <c r="Q15" s="34">
        <v>1</v>
      </c>
      <c r="T15" s="26" t="s">
        <v>234</v>
      </c>
      <c r="U15" s="26" t="s">
        <v>254</v>
      </c>
      <c r="V15" s="26" t="s">
        <v>256</v>
      </c>
      <c r="W15" s="27" t="s">
        <v>554</v>
      </c>
      <c r="X15" s="27" t="s">
        <v>294</v>
      </c>
      <c r="Y15" t="s">
        <v>290</v>
      </c>
      <c r="Z15" t="s">
        <v>304</v>
      </c>
      <c r="AA15" s="15">
        <f>-1*C15</f>
        <v>0</v>
      </c>
      <c r="AB15" s="42"/>
      <c r="AC15">
        <f t="shared" si="2"/>
        <v>0</v>
      </c>
      <c r="AD15" t="str">
        <f t="shared" si="1"/>
        <v>Alutu:22 Sep 2004-5 Mar 2008</v>
      </c>
      <c r="AE15" t="s">
        <v>202</v>
      </c>
      <c r="AF15" t="s">
        <v>222</v>
      </c>
    </row>
    <row r="16" spans="1:42" x14ac:dyDescent="0.2">
      <c r="A16">
        <v>221270</v>
      </c>
      <c r="B16" t="s">
        <v>205</v>
      </c>
      <c r="C16" s="32"/>
      <c r="D16" s="8" t="s">
        <v>482</v>
      </c>
      <c r="E16" s="8" t="s">
        <v>483</v>
      </c>
      <c r="F16">
        <v>1.5342465753424657</v>
      </c>
      <c r="I16">
        <v>16</v>
      </c>
      <c r="K16">
        <v>201</v>
      </c>
      <c r="L16" s="32">
        <v>1</v>
      </c>
      <c r="M16">
        <v>2.5</v>
      </c>
      <c r="N16">
        <v>2.5</v>
      </c>
      <c r="O16">
        <v>4.3</v>
      </c>
      <c r="Q16" s="34">
        <v>1</v>
      </c>
      <c r="T16" s="26" t="s">
        <v>234</v>
      </c>
      <c r="U16" s="26" t="s">
        <v>254</v>
      </c>
      <c r="V16" s="26" t="s">
        <v>256</v>
      </c>
      <c r="W16" s="27" t="s">
        <v>554</v>
      </c>
      <c r="X16" s="27" t="s">
        <v>294</v>
      </c>
      <c r="Y16" t="s">
        <v>290</v>
      </c>
      <c r="Z16" t="s">
        <v>304</v>
      </c>
      <c r="AA16" s="15">
        <f>-1*C16</f>
        <v>0</v>
      </c>
      <c r="AB16" s="42"/>
      <c r="AC16">
        <f t="shared" si="2"/>
        <v>0</v>
      </c>
      <c r="AD16" t="str">
        <f t="shared" si="1"/>
        <v>Alutu:14 Jan 2009-28 Jul 2010</v>
      </c>
      <c r="AE16" t="s">
        <v>202</v>
      </c>
      <c r="AF16" t="s">
        <v>222</v>
      </c>
    </row>
    <row r="17" spans="1:32" x14ac:dyDescent="0.2">
      <c r="A17">
        <v>221270</v>
      </c>
      <c r="B17" t="s">
        <v>205</v>
      </c>
      <c r="C17" s="32"/>
      <c r="D17" s="8" t="s">
        <v>480</v>
      </c>
      <c r="E17" s="8" t="s">
        <v>481</v>
      </c>
      <c r="F17">
        <v>0.55068493150684927</v>
      </c>
      <c r="I17">
        <v>16</v>
      </c>
      <c r="K17">
        <v>201</v>
      </c>
      <c r="L17" s="32">
        <v>1</v>
      </c>
      <c r="M17">
        <v>2.5</v>
      </c>
      <c r="N17">
        <v>2.5</v>
      </c>
      <c r="O17">
        <v>9.9</v>
      </c>
      <c r="Q17" s="34">
        <v>1</v>
      </c>
      <c r="T17" s="26" t="s">
        <v>234</v>
      </c>
      <c r="U17" s="26" t="s">
        <v>254</v>
      </c>
      <c r="V17" s="26" t="s">
        <v>256</v>
      </c>
      <c r="W17" s="27" t="s">
        <v>554</v>
      </c>
      <c r="X17" s="27" t="s">
        <v>293</v>
      </c>
      <c r="Y17" t="s">
        <v>293</v>
      </c>
      <c r="Z17" t="s">
        <v>304</v>
      </c>
      <c r="AA17" s="32"/>
      <c r="AB17">
        <v>9.9</v>
      </c>
      <c r="AC17">
        <f t="shared" si="2"/>
        <v>0</v>
      </c>
      <c r="AD17" t="str">
        <f t="shared" si="1"/>
        <v>Alutu:14 May 2008-1 Dec 2008</v>
      </c>
      <c r="AE17" t="s">
        <v>202</v>
      </c>
      <c r="AF17" t="s">
        <v>222</v>
      </c>
    </row>
    <row r="18" spans="1:32" x14ac:dyDescent="0.2">
      <c r="A18">
        <v>221270</v>
      </c>
      <c r="B18" t="s">
        <v>205</v>
      </c>
      <c r="C18" s="32"/>
      <c r="D18" s="8" t="s">
        <v>476</v>
      </c>
      <c r="E18" s="8" t="s">
        <v>477</v>
      </c>
      <c r="F18">
        <v>0.75616438356164384</v>
      </c>
      <c r="I18">
        <v>16</v>
      </c>
      <c r="K18">
        <v>201</v>
      </c>
      <c r="L18" s="32">
        <v>1</v>
      </c>
      <c r="M18">
        <v>2.5</v>
      </c>
      <c r="N18">
        <v>2.5</v>
      </c>
      <c r="O18">
        <v>15</v>
      </c>
      <c r="Q18" s="34">
        <v>1</v>
      </c>
      <c r="T18" s="26" t="s">
        <v>234</v>
      </c>
      <c r="U18" s="26" t="s">
        <v>254</v>
      </c>
      <c r="V18" s="26" t="s">
        <v>256</v>
      </c>
      <c r="W18" s="27" t="s">
        <v>554</v>
      </c>
      <c r="X18" s="27" t="s">
        <v>293</v>
      </c>
      <c r="Y18" t="s">
        <v>293</v>
      </c>
      <c r="Z18" t="s">
        <v>304</v>
      </c>
      <c r="AA18" s="32"/>
      <c r="AB18">
        <v>15</v>
      </c>
      <c r="AC18">
        <f t="shared" si="2"/>
        <v>0</v>
      </c>
      <c r="AD18" t="str">
        <f t="shared" si="1"/>
        <v>Alutu:17 Dec 2003-18 Sep 2004</v>
      </c>
      <c r="AE18" t="s">
        <v>202</v>
      </c>
      <c r="AF18" t="s">
        <v>222</v>
      </c>
    </row>
    <row r="19" spans="1:32" x14ac:dyDescent="0.2">
      <c r="A19">
        <v>257040</v>
      </c>
      <c r="B19" s="6" t="s">
        <v>320</v>
      </c>
      <c r="C19" s="33"/>
      <c r="D19" s="8" t="s">
        <v>166</v>
      </c>
      <c r="E19" s="8" t="s">
        <v>369</v>
      </c>
      <c r="F19">
        <v>5.2520547945205482</v>
      </c>
      <c r="O19">
        <v>61.6</v>
      </c>
      <c r="Q19" s="34">
        <v>2</v>
      </c>
      <c r="T19" s="26" t="s">
        <v>234</v>
      </c>
      <c r="U19" s="26" t="s">
        <v>254</v>
      </c>
      <c r="V19" s="26" t="s">
        <v>256</v>
      </c>
      <c r="W19" s="27" t="s">
        <v>554</v>
      </c>
      <c r="X19" s="27" t="s">
        <v>294</v>
      </c>
      <c r="Y19" t="s">
        <v>294</v>
      </c>
      <c r="AA19" s="15">
        <f>-1*C19</f>
        <v>0</v>
      </c>
      <c r="AB19" s="42"/>
      <c r="AC19">
        <f t="shared" si="2"/>
        <v>0</v>
      </c>
      <c r="AD19" t="str">
        <f t="shared" si="1"/>
        <v>Ambrym:Sep 2004-Dec 2009</v>
      </c>
      <c r="AE19" t="s">
        <v>202</v>
      </c>
      <c r="AF19" t="s">
        <v>222</v>
      </c>
    </row>
    <row r="20" spans="1:32" x14ac:dyDescent="0.2">
      <c r="A20">
        <v>311190</v>
      </c>
      <c r="B20" s="8" t="s">
        <v>42</v>
      </c>
      <c r="C20" s="15">
        <v>0.1</v>
      </c>
      <c r="D20" s="8" t="s">
        <v>129</v>
      </c>
      <c r="E20" s="8" t="s">
        <v>179</v>
      </c>
      <c r="F20" s="19">
        <v>16</v>
      </c>
      <c r="O20" s="45">
        <f t="shared" ref="O20:O25" si="3">C20*F20</f>
        <v>1.6</v>
      </c>
      <c r="Q20" s="22">
        <v>2</v>
      </c>
      <c r="S20" s="16" t="s">
        <v>248</v>
      </c>
      <c r="T20" s="26" t="s">
        <v>234</v>
      </c>
      <c r="U20" s="26" t="s">
        <v>249</v>
      </c>
      <c r="V20" s="26" t="s">
        <v>250</v>
      </c>
      <c r="W20" s="26"/>
      <c r="X20" s="27" t="s">
        <v>294</v>
      </c>
      <c r="Y20" t="s">
        <v>290</v>
      </c>
      <c r="Z20" t="s">
        <v>300</v>
      </c>
      <c r="AA20" s="15">
        <f>-1*C20</f>
        <v>-0.1</v>
      </c>
      <c r="AB20" s="42"/>
      <c r="AC20">
        <f t="shared" si="2"/>
        <v>0.1</v>
      </c>
      <c r="AD20" t="str">
        <f t="shared" si="1"/>
        <v>Amukta:1993-2009</v>
      </c>
      <c r="AE20" t="s">
        <v>202</v>
      </c>
      <c r="AF20" t="s">
        <v>222</v>
      </c>
    </row>
    <row r="21" spans="1:32" x14ac:dyDescent="0.2">
      <c r="A21">
        <v>311190</v>
      </c>
      <c r="B21" s="8" t="s">
        <v>42</v>
      </c>
      <c r="C21" s="15">
        <v>0.5</v>
      </c>
      <c r="D21" s="8" t="s">
        <v>129</v>
      </c>
      <c r="E21" s="8" t="s">
        <v>179</v>
      </c>
      <c r="F21" s="19">
        <v>16</v>
      </c>
      <c r="I21">
        <v>2</v>
      </c>
      <c r="J21" s="10">
        <f>K21/(I21*PI())</f>
        <v>0.47746482927568601</v>
      </c>
      <c r="K21" s="15">
        <v>3</v>
      </c>
      <c r="L21" s="32">
        <v>1</v>
      </c>
      <c r="M21">
        <v>0.4</v>
      </c>
      <c r="N21">
        <v>0.4</v>
      </c>
      <c r="O21" s="42">
        <f t="shared" si="3"/>
        <v>8</v>
      </c>
      <c r="Q21" s="22">
        <v>1</v>
      </c>
      <c r="S21" s="16" t="s">
        <v>248</v>
      </c>
      <c r="T21" s="26" t="s">
        <v>234</v>
      </c>
      <c r="U21" s="26" t="s">
        <v>249</v>
      </c>
      <c r="V21" s="26" t="s">
        <v>250</v>
      </c>
      <c r="W21" s="26"/>
      <c r="X21" s="27" t="s">
        <v>294</v>
      </c>
      <c r="Y21" t="s">
        <v>290</v>
      </c>
      <c r="Z21" t="s">
        <v>304</v>
      </c>
      <c r="AA21" s="15">
        <f>-1*C21</f>
        <v>-0.5</v>
      </c>
      <c r="AB21" s="42"/>
      <c r="AC21">
        <f t="shared" si="2"/>
        <v>0.5</v>
      </c>
      <c r="AD21" t="str">
        <f t="shared" si="1"/>
        <v>Amukta:1993-2009</v>
      </c>
      <c r="AE21" t="s">
        <v>202</v>
      </c>
      <c r="AF21" t="s">
        <v>222</v>
      </c>
    </row>
    <row r="22" spans="1:32" x14ac:dyDescent="0.2">
      <c r="A22">
        <v>312090</v>
      </c>
      <c r="B22" s="8" t="s">
        <v>75</v>
      </c>
      <c r="C22" s="15">
        <v>10</v>
      </c>
      <c r="D22" s="8" t="s">
        <v>136</v>
      </c>
      <c r="E22" s="8" t="s">
        <v>182</v>
      </c>
      <c r="F22" s="19">
        <v>18</v>
      </c>
      <c r="I22">
        <v>8</v>
      </c>
      <c r="J22" s="10">
        <f>K22/(I22*PI())</f>
        <v>1.9894367886486917</v>
      </c>
      <c r="K22" s="15">
        <v>50</v>
      </c>
      <c r="L22" s="32">
        <v>1</v>
      </c>
      <c r="M22">
        <v>4</v>
      </c>
      <c r="N22">
        <v>4</v>
      </c>
      <c r="O22" s="42">
        <f t="shared" si="3"/>
        <v>180</v>
      </c>
      <c r="Q22" s="22">
        <v>1</v>
      </c>
      <c r="S22" s="16" t="s">
        <v>248</v>
      </c>
      <c r="T22" s="26" t="s">
        <v>233</v>
      </c>
      <c r="U22" s="26" t="s">
        <v>252</v>
      </c>
      <c r="V22" s="26" t="s">
        <v>250</v>
      </c>
      <c r="W22" s="26"/>
      <c r="X22" s="27" t="s">
        <v>294</v>
      </c>
      <c r="Y22" t="s">
        <v>290</v>
      </c>
      <c r="Z22" s="26" t="s">
        <v>563</v>
      </c>
      <c r="AA22" s="15">
        <f>-1*C22</f>
        <v>-10</v>
      </c>
      <c r="AB22" s="42"/>
      <c r="AC22">
        <f t="shared" si="2"/>
        <v>10</v>
      </c>
      <c r="AD22" t="str">
        <f t="shared" si="1"/>
        <v>Aniakchak:1992-2010</v>
      </c>
      <c r="AE22" t="s">
        <v>202</v>
      </c>
      <c r="AF22" t="s">
        <v>222</v>
      </c>
    </row>
    <row r="23" spans="1:32" x14ac:dyDescent="0.2">
      <c r="A23">
        <v>221126</v>
      </c>
      <c r="B23" s="8" t="s">
        <v>76</v>
      </c>
      <c r="C23" s="15">
        <v>1.2</v>
      </c>
      <c r="D23" s="8" t="s">
        <v>161</v>
      </c>
      <c r="E23" s="8" t="s">
        <v>134</v>
      </c>
      <c r="F23" s="19">
        <v>12</v>
      </c>
      <c r="J23" s="10"/>
      <c r="O23" s="45">
        <f t="shared" si="3"/>
        <v>14.399999999999999</v>
      </c>
      <c r="Q23" s="22">
        <v>1</v>
      </c>
      <c r="S23" s="16" t="s">
        <v>271</v>
      </c>
      <c r="T23" s="26" t="s">
        <v>240</v>
      </c>
      <c r="U23" s="26" t="s">
        <v>266</v>
      </c>
      <c r="V23" s="26" t="s">
        <v>251</v>
      </c>
      <c r="W23" s="26"/>
      <c r="X23" s="26" t="s">
        <v>560</v>
      </c>
      <c r="Y23" t="s">
        <v>289</v>
      </c>
      <c r="Z23" t="s">
        <v>299</v>
      </c>
      <c r="AA23" s="15">
        <v>1.2</v>
      </c>
      <c r="AB23" s="45"/>
      <c r="AC23">
        <f t="shared" si="2"/>
        <v>1.2</v>
      </c>
      <c r="AD23" t="str">
        <f t="shared" si="1"/>
        <v>Ardoukôba:1991-2003</v>
      </c>
      <c r="AE23" t="s">
        <v>202</v>
      </c>
      <c r="AF23" t="s">
        <v>222</v>
      </c>
    </row>
    <row r="24" spans="1:32" x14ac:dyDescent="0.2">
      <c r="A24">
        <v>345033</v>
      </c>
      <c r="B24" s="8" t="s">
        <v>77</v>
      </c>
      <c r="C24" s="15">
        <v>7</v>
      </c>
      <c r="D24" s="8" t="s">
        <v>162</v>
      </c>
      <c r="E24" s="8" t="s">
        <v>197</v>
      </c>
      <c r="F24" s="19">
        <v>3.3342465753424659</v>
      </c>
      <c r="J24" s="10"/>
      <c r="O24" s="45">
        <f t="shared" si="3"/>
        <v>23.339726027397262</v>
      </c>
      <c r="Q24" s="22">
        <v>1</v>
      </c>
      <c r="S24" s="16" t="s">
        <v>278</v>
      </c>
      <c r="T24" s="27" t="s">
        <v>234</v>
      </c>
      <c r="U24" s="27" t="s">
        <v>252</v>
      </c>
      <c r="V24" s="27" t="s">
        <v>250</v>
      </c>
      <c r="W24" s="27"/>
      <c r="X24" s="27" t="s">
        <v>294</v>
      </c>
      <c r="Y24" t="s">
        <v>287</v>
      </c>
      <c r="Z24" t="s">
        <v>301</v>
      </c>
      <c r="AA24" s="15">
        <f>-1*C24</f>
        <v>-7</v>
      </c>
      <c r="AB24" s="42"/>
      <c r="AC24">
        <f t="shared" si="2"/>
        <v>7</v>
      </c>
      <c r="AD24" t="str">
        <f t="shared" si="1"/>
        <v>Arenal:Dec 2005-Apr 2009</v>
      </c>
      <c r="AE24" t="s">
        <v>202</v>
      </c>
      <c r="AF24" t="s">
        <v>222</v>
      </c>
    </row>
    <row r="25" spans="1:32" x14ac:dyDescent="0.2">
      <c r="A25">
        <v>345033</v>
      </c>
      <c r="B25" s="8" t="s">
        <v>77</v>
      </c>
      <c r="C25" s="15">
        <v>10</v>
      </c>
      <c r="D25" s="8" t="s">
        <v>163</v>
      </c>
      <c r="E25" s="8" t="s">
        <v>154</v>
      </c>
      <c r="F25" s="19">
        <v>2</v>
      </c>
      <c r="J25" s="10"/>
      <c r="O25" s="45">
        <f t="shared" si="3"/>
        <v>20</v>
      </c>
      <c r="Q25" s="22">
        <v>1</v>
      </c>
      <c r="S25" s="16" t="s">
        <v>278</v>
      </c>
      <c r="T25" s="27" t="s">
        <v>234</v>
      </c>
      <c r="U25" s="27" t="s">
        <v>252</v>
      </c>
      <c r="V25" s="27" t="s">
        <v>250</v>
      </c>
      <c r="W25" s="27"/>
      <c r="X25" s="27" t="s">
        <v>294</v>
      </c>
      <c r="Y25" t="s">
        <v>287</v>
      </c>
      <c r="Z25" t="s">
        <v>312</v>
      </c>
      <c r="AA25" s="15">
        <f>-1*C25</f>
        <v>-10</v>
      </c>
      <c r="AB25" s="42"/>
      <c r="AC25">
        <f t="shared" si="2"/>
        <v>10</v>
      </c>
      <c r="AD25" t="str">
        <f t="shared" si="1"/>
        <v>Arenal:2011-2013</v>
      </c>
      <c r="AE25" t="s">
        <v>202</v>
      </c>
      <c r="AF25" t="s">
        <v>222</v>
      </c>
    </row>
    <row r="26" spans="1:32" x14ac:dyDescent="0.2">
      <c r="A26">
        <v>283110</v>
      </c>
      <c r="B26" t="s">
        <v>321</v>
      </c>
      <c r="C26" s="32"/>
      <c r="D26" s="8" t="s">
        <v>370</v>
      </c>
      <c r="E26" s="8" t="s">
        <v>371</v>
      </c>
      <c r="F26">
        <v>41</v>
      </c>
      <c r="O26">
        <v>4</v>
      </c>
      <c r="Q26" s="34">
        <v>2</v>
      </c>
      <c r="T26" s="16" t="s">
        <v>235</v>
      </c>
      <c r="U26" s="16" t="s">
        <v>252</v>
      </c>
      <c r="V26" s="16" t="s">
        <v>250</v>
      </c>
      <c r="W26" s="27" t="s">
        <v>554</v>
      </c>
      <c r="X26" s="27" t="s">
        <v>293</v>
      </c>
      <c r="Y26" t="s">
        <v>286</v>
      </c>
      <c r="AA26" s="32"/>
      <c r="AB26">
        <v>4</v>
      </c>
      <c r="AC26">
        <f t="shared" si="2"/>
        <v>0</v>
      </c>
      <c r="AD26" t="str">
        <f t="shared" si="1"/>
        <v>Asamayama:1902-1943</v>
      </c>
      <c r="AE26" t="s">
        <v>202</v>
      </c>
      <c r="AF26" t="s">
        <v>222</v>
      </c>
    </row>
    <row r="27" spans="1:32" x14ac:dyDescent="0.2">
      <c r="A27">
        <v>283110</v>
      </c>
      <c r="B27" t="s">
        <v>321</v>
      </c>
      <c r="C27" s="32"/>
      <c r="D27" s="8" t="s">
        <v>371</v>
      </c>
      <c r="E27" s="8" t="s">
        <v>372</v>
      </c>
      <c r="F27">
        <v>24</v>
      </c>
      <c r="O27">
        <v>3</v>
      </c>
      <c r="Q27" s="34">
        <v>2</v>
      </c>
      <c r="T27" s="16" t="s">
        <v>235</v>
      </c>
      <c r="U27" s="16" t="s">
        <v>252</v>
      </c>
      <c r="V27" s="16" t="s">
        <v>250</v>
      </c>
      <c r="W27" s="27" t="s">
        <v>554</v>
      </c>
      <c r="X27" s="27" t="s">
        <v>294</v>
      </c>
      <c r="Y27" t="s">
        <v>287</v>
      </c>
      <c r="AA27" s="15">
        <f t="shared" ref="AA27:AA34" si="4">-1*C27</f>
        <v>0</v>
      </c>
      <c r="AB27" s="42"/>
      <c r="AC27">
        <f t="shared" si="2"/>
        <v>0</v>
      </c>
      <c r="AD27" t="str">
        <f t="shared" si="1"/>
        <v>Asamayama:1943-1967</v>
      </c>
      <c r="AE27" t="s">
        <v>202</v>
      </c>
      <c r="AF27" t="s">
        <v>222</v>
      </c>
    </row>
    <row r="28" spans="1:32" x14ac:dyDescent="0.2">
      <c r="A28">
        <v>373060</v>
      </c>
      <c r="B28" s="8" t="s">
        <v>78</v>
      </c>
      <c r="C28" s="15">
        <v>3</v>
      </c>
      <c r="D28" s="8" t="s">
        <v>156</v>
      </c>
      <c r="E28" s="8" t="s">
        <v>179</v>
      </c>
      <c r="F28" s="19">
        <v>9</v>
      </c>
      <c r="I28">
        <v>8</v>
      </c>
      <c r="J28" s="10">
        <f>K28/(I28*PI())</f>
        <v>1.9894367886486917</v>
      </c>
      <c r="K28" s="15">
        <v>50</v>
      </c>
      <c r="L28" s="32">
        <v>1</v>
      </c>
      <c r="M28">
        <v>3.2</v>
      </c>
      <c r="N28">
        <v>3.8</v>
      </c>
      <c r="O28" s="42">
        <f>C28*F28</f>
        <v>27</v>
      </c>
      <c r="Q28" s="22">
        <v>1</v>
      </c>
      <c r="S28" s="16" t="s">
        <v>281</v>
      </c>
      <c r="T28" s="26" t="s">
        <v>234</v>
      </c>
      <c r="U28" s="26" t="s">
        <v>258</v>
      </c>
      <c r="V28" s="26" t="s">
        <v>251</v>
      </c>
      <c r="W28" s="26"/>
      <c r="X28" s="27" t="s">
        <v>294</v>
      </c>
      <c r="Y28" t="s">
        <v>287</v>
      </c>
      <c r="Z28" t="s">
        <v>299</v>
      </c>
      <c r="AA28" s="15">
        <f t="shared" si="4"/>
        <v>-3</v>
      </c>
      <c r="AB28" s="42"/>
      <c r="AC28">
        <f t="shared" si="2"/>
        <v>3</v>
      </c>
      <c r="AD28" t="str">
        <f t="shared" si="1"/>
        <v>Askja:2000-2009</v>
      </c>
      <c r="AE28" t="s">
        <v>202</v>
      </c>
      <c r="AF28" t="s">
        <v>222</v>
      </c>
    </row>
    <row r="29" spans="1:32" x14ac:dyDescent="0.2">
      <c r="A29">
        <v>373060</v>
      </c>
      <c r="B29" t="s">
        <v>78</v>
      </c>
      <c r="C29" s="32"/>
      <c r="D29" s="8" t="s">
        <v>484</v>
      </c>
      <c r="E29" s="8" t="s">
        <v>132</v>
      </c>
      <c r="F29">
        <v>15</v>
      </c>
      <c r="O29">
        <v>75</v>
      </c>
      <c r="Q29" s="34">
        <v>1</v>
      </c>
      <c r="T29" s="26" t="s">
        <v>234</v>
      </c>
      <c r="U29" s="26" t="s">
        <v>258</v>
      </c>
      <c r="V29" s="26" t="s">
        <v>251</v>
      </c>
      <c r="W29" s="27" t="s">
        <v>554</v>
      </c>
      <c r="X29" s="27" t="s">
        <v>294</v>
      </c>
      <c r="Y29" t="s">
        <v>287</v>
      </c>
      <c r="Z29" t="s">
        <v>299</v>
      </c>
      <c r="AA29" s="15">
        <f t="shared" si="4"/>
        <v>0</v>
      </c>
      <c r="AB29" s="42"/>
      <c r="AC29">
        <f t="shared" si="2"/>
        <v>0</v>
      </c>
      <c r="AD29" t="str">
        <f t="shared" si="1"/>
        <v>Askja:1983-1998</v>
      </c>
      <c r="AE29" t="s">
        <v>202</v>
      </c>
      <c r="AF29" t="s">
        <v>222</v>
      </c>
    </row>
    <row r="30" spans="1:32" x14ac:dyDescent="0.2">
      <c r="A30">
        <v>373060</v>
      </c>
      <c r="B30" s="8" t="s">
        <v>78</v>
      </c>
      <c r="C30" s="15">
        <v>5</v>
      </c>
      <c r="D30" s="8" t="s">
        <v>136</v>
      </c>
      <c r="E30" s="8" t="s">
        <v>156</v>
      </c>
      <c r="F30" s="19">
        <v>8</v>
      </c>
      <c r="I30">
        <v>8.5</v>
      </c>
      <c r="J30" s="10">
        <f>K30/(I30*PI())</f>
        <v>2.1345486485265961</v>
      </c>
      <c r="K30" s="15">
        <v>57</v>
      </c>
      <c r="L30" s="32">
        <v>1</v>
      </c>
      <c r="O30" s="45">
        <f t="shared" ref="O30:O36" si="5">C30*F30</f>
        <v>40</v>
      </c>
      <c r="Q30" s="22">
        <v>1</v>
      </c>
      <c r="S30" s="16" t="s">
        <v>281</v>
      </c>
      <c r="T30" s="26" t="s">
        <v>234</v>
      </c>
      <c r="U30" s="26" t="s">
        <v>258</v>
      </c>
      <c r="V30" s="26" t="s">
        <v>251</v>
      </c>
      <c r="W30" s="26"/>
      <c r="X30" s="27" t="s">
        <v>294</v>
      </c>
      <c r="Y30" t="s">
        <v>287</v>
      </c>
      <c r="Z30" t="s">
        <v>299</v>
      </c>
      <c r="AA30" s="15">
        <f t="shared" si="4"/>
        <v>-5</v>
      </c>
      <c r="AB30" s="42"/>
      <c r="AC30">
        <f t="shared" si="2"/>
        <v>5</v>
      </c>
      <c r="AD30" t="str">
        <f t="shared" si="1"/>
        <v>Askja:1992-2000</v>
      </c>
      <c r="AE30" t="s">
        <v>202</v>
      </c>
      <c r="AF30" t="s">
        <v>222</v>
      </c>
    </row>
    <row r="31" spans="1:32" x14ac:dyDescent="0.2">
      <c r="A31">
        <v>282110</v>
      </c>
      <c r="B31" s="8" t="s">
        <v>43</v>
      </c>
      <c r="C31" s="15">
        <v>1.2</v>
      </c>
      <c r="D31" s="8" t="s">
        <v>130</v>
      </c>
      <c r="E31" s="8" t="s">
        <v>174</v>
      </c>
      <c r="F31" s="19">
        <v>2.8356164383561642</v>
      </c>
      <c r="O31" s="45">
        <f t="shared" si="5"/>
        <v>3.4027397260273968</v>
      </c>
      <c r="Q31" s="22">
        <v>2</v>
      </c>
      <c r="S31" s="16" t="s">
        <v>275</v>
      </c>
      <c r="T31" s="26" t="s">
        <v>233</v>
      </c>
      <c r="U31" s="26" t="s">
        <v>252</v>
      </c>
      <c r="V31" s="26" t="s">
        <v>250</v>
      </c>
      <c r="W31" s="26"/>
      <c r="X31" s="27" t="s">
        <v>294</v>
      </c>
      <c r="Y31" t="s">
        <v>290</v>
      </c>
      <c r="Z31" t="s">
        <v>299</v>
      </c>
      <c r="AA31" s="15">
        <f t="shared" si="4"/>
        <v>-1.2</v>
      </c>
      <c r="AB31" s="42"/>
      <c r="AC31">
        <f t="shared" si="2"/>
        <v>1.2</v>
      </c>
      <c r="AD31" t="str">
        <f t="shared" si="1"/>
        <v>Asosan:Jan 1996-Nov 1998</v>
      </c>
      <c r="AE31" t="s">
        <v>202</v>
      </c>
      <c r="AF31" t="s">
        <v>222</v>
      </c>
    </row>
    <row r="32" spans="1:32" x14ac:dyDescent="0.2">
      <c r="A32">
        <v>311160</v>
      </c>
      <c r="B32" s="8" t="s">
        <v>44</v>
      </c>
      <c r="C32" s="15">
        <v>0.5</v>
      </c>
      <c r="D32" s="8" t="s">
        <v>135</v>
      </c>
      <c r="E32" s="8" t="s">
        <v>164</v>
      </c>
      <c r="F32" s="19">
        <v>1</v>
      </c>
      <c r="I32" s="10">
        <v>5</v>
      </c>
      <c r="J32" s="10">
        <f>K32/(I32*PI())</f>
        <v>1.25</v>
      </c>
      <c r="K32" s="15">
        <v>19.634954084936208</v>
      </c>
      <c r="L32" s="32">
        <v>1</v>
      </c>
      <c r="M32">
        <v>3</v>
      </c>
      <c r="N32">
        <v>4</v>
      </c>
      <c r="O32" s="45">
        <f t="shared" si="5"/>
        <v>0.5</v>
      </c>
      <c r="Q32" s="22">
        <v>2</v>
      </c>
      <c r="S32" s="16" t="s">
        <v>248</v>
      </c>
      <c r="T32" s="26" t="s">
        <v>236</v>
      </c>
      <c r="U32" s="26" t="s">
        <v>249</v>
      </c>
      <c r="V32" s="26" t="s">
        <v>251</v>
      </c>
      <c r="W32" s="26"/>
      <c r="X32" s="27" t="s">
        <v>294</v>
      </c>
      <c r="Y32" t="s">
        <v>290</v>
      </c>
      <c r="Z32" t="s">
        <v>307</v>
      </c>
      <c r="AA32" s="15">
        <f t="shared" si="4"/>
        <v>-0.5</v>
      </c>
      <c r="AB32" s="42"/>
      <c r="AC32">
        <f t="shared" si="2"/>
        <v>0.5</v>
      </c>
      <c r="AD32" t="str">
        <f t="shared" si="1"/>
        <v>Atka:2004-2005</v>
      </c>
      <c r="AE32" t="s">
        <v>202</v>
      </c>
      <c r="AF32" t="s">
        <v>222</v>
      </c>
    </row>
    <row r="33" spans="1:42" x14ac:dyDescent="0.2">
      <c r="A33">
        <v>311160</v>
      </c>
      <c r="B33" s="8" t="s">
        <v>44</v>
      </c>
      <c r="C33" s="15">
        <v>1</v>
      </c>
      <c r="D33" s="8" t="s">
        <v>131</v>
      </c>
      <c r="E33" s="8" t="s">
        <v>132</v>
      </c>
      <c r="F33" s="19">
        <v>1</v>
      </c>
      <c r="I33" s="10">
        <v>5</v>
      </c>
      <c r="J33" s="10">
        <f>K33/(I33*PI())</f>
        <v>1.25</v>
      </c>
      <c r="K33" s="15">
        <v>19.634954084936208</v>
      </c>
      <c r="L33" s="32">
        <v>1</v>
      </c>
      <c r="M33">
        <v>3</v>
      </c>
      <c r="N33">
        <v>4</v>
      </c>
      <c r="O33" s="42">
        <f t="shared" si="5"/>
        <v>1</v>
      </c>
      <c r="Q33" s="22">
        <v>2</v>
      </c>
      <c r="S33" s="16" t="s">
        <v>248</v>
      </c>
      <c r="T33" s="26" t="s">
        <v>236</v>
      </c>
      <c r="U33" s="26" t="s">
        <v>249</v>
      </c>
      <c r="V33" s="26" t="s">
        <v>251</v>
      </c>
      <c r="W33" s="26"/>
      <c r="X33" s="27" t="s">
        <v>294</v>
      </c>
      <c r="Y33" t="s">
        <v>290</v>
      </c>
      <c r="Z33" t="s">
        <v>307</v>
      </c>
      <c r="AA33" s="15">
        <f t="shared" si="4"/>
        <v>-1</v>
      </c>
      <c r="AB33" s="42"/>
      <c r="AC33">
        <f t="shared" si="2"/>
        <v>1</v>
      </c>
      <c r="AD33" t="str">
        <f t="shared" si="1"/>
        <v>Atka:1997-1998</v>
      </c>
      <c r="AE33" t="s">
        <v>202</v>
      </c>
      <c r="AF33" t="s">
        <v>222</v>
      </c>
    </row>
    <row r="34" spans="1:42" x14ac:dyDescent="0.2">
      <c r="A34">
        <v>311160</v>
      </c>
      <c r="B34" s="8" t="s">
        <v>44</v>
      </c>
      <c r="C34" s="15">
        <v>1</v>
      </c>
      <c r="D34" s="8" t="s">
        <v>132</v>
      </c>
      <c r="E34" s="8" t="s">
        <v>133</v>
      </c>
      <c r="F34" s="19">
        <v>1</v>
      </c>
      <c r="I34" s="10">
        <v>5</v>
      </c>
      <c r="J34" s="10">
        <f>K34/(I34*PI())</f>
        <v>1.25</v>
      </c>
      <c r="K34" s="15">
        <v>19.634954084936208</v>
      </c>
      <c r="L34" s="32">
        <v>1</v>
      </c>
      <c r="M34">
        <v>3</v>
      </c>
      <c r="N34">
        <v>4</v>
      </c>
      <c r="O34" s="42">
        <f t="shared" si="5"/>
        <v>1</v>
      </c>
      <c r="Q34" s="22">
        <v>2</v>
      </c>
      <c r="S34" s="16" t="s">
        <v>248</v>
      </c>
      <c r="T34" s="26" t="s">
        <v>236</v>
      </c>
      <c r="U34" s="26" t="s">
        <v>249</v>
      </c>
      <c r="V34" s="26" t="s">
        <v>251</v>
      </c>
      <c r="W34" s="26"/>
      <c r="X34" s="27" t="s">
        <v>294</v>
      </c>
      <c r="Y34" t="s">
        <v>290</v>
      </c>
      <c r="Z34" t="s">
        <v>307</v>
      </c>
      <c r="AA34" s="15">
        <f t="shared" si="4"/>
        <v>-1</v>
      </c>
      <c r="AB34" s="42"/>
      <c r="AC34">
        <f t="shared" si="2"/>
        <v>1</v>
      </c>
      <c r="AD34" t="str">
        <f t="shared" si="1"/>
        <v>Atka:1998-1999</v>
      </c>
      <c r="AE34" t="s">
        <v>202</v>
      </c>
      <c r="AF34" t="s">
        <v>222</v>
      </c>
    </row>
    <row r="35" spans="1:42" x14ac:dyDescent="0.2">
      <c r="A35">
        <v>311160</v>
      </c>
      <c r="B35" s="8" t="s">
        <v>44</v>
      </c>
      <c r="C35" s="15">
        <v>3</v>
      </c>
      <c r="D35" s="8" t="s">
        <v>133</v>
      </c>
      <c r="E35" s="8" t="s">
        <v>156</v>
      </c>
      <c r="F35" s="19">
        <v>1</v>
      </c>
      <c r="I35" s="10">
        <v>18</v>
      </c>
      <c r="J35" s="10">
        <f>K35/(I35*PI())</f>
        <v>4.5</v>
      </c>
      <c r="K35" s="15">
        <v>254.46900494077323</v>
      </c>
      <c r="L35" s="32">
        <v>1</v>
      </c>
      <c r="M35">
        <v>5.7</v>
      </c>
      <c r="N35">
        <v>5.7</v>
      </c>
      <c r="O35" s="42">
        <f t="shared" si="5"/>
        <v>3</v>
      </c>
      <c r="Q35" s="22">
        <v>2</v>
      </c>
      <c r="S35" s="16" t="s">
        <v>248</v>
      </c>
      <c r="T35" s="26" t="s">
        <v>236</v>
      </c>
      <c r="U35" s="26" t="s">
        <v>249</v>
      </c>
      <c r="V35" s="26" t="s">
        <v>251</v>
      </c>
      <c r="W35" s="26"/>
      <c r="X35" s="27" t="s">
        <v>293</v>
      </c>
      <c r="Y35" t="s">
        <v>293</v>
      </c>
      <c r="Z35" t="s">
        <v>299</v>
      </c>
      <c r="AA35" s="15">
        <v>3</v>
      </c>
      <c r="AB35" s="42"/>
      <c r="AC35">
        <f t="shared" si="2"/>
        <v>3</v>
      </c>
      <c r="AD35" t="str">
        <f t="shared" si="1"/>
        <v>Atka:1999-2000</v>
      </c>
      <c r="AE35" t="s">
        <v>202</v>
      </c>
      <c r="AF35" t="s">
        <v>222</v>
      </c>
    </row>
    <row r="36" spans="1:42" x14ac:dyDescent="0.2">
      <c r="A36">
        <v>311160</v>
      </c>
      <c r="B36" s="8" t="s">
        <v>44</v>
      </c>
      <c r="C36" s="15">
        <v>3</v>
      </c>
      <c r="D36" s="8" t="s">
        <v>134</v>
      </c>
      <c r="E36" s="8" t="s">
        <v>135</v>
      </c>
      <c r="F36" s="19">
        <v>1</v>
      </c>
      <c r="I36" s="10">
        <v>18</v>
      </c>
      <c r="J36" s="10">
        <f>K36/(I36*PI())</f>
        <v>4.5</v>
      </c>
      <c r="K36" s="15">
        <v>254.46900494077323</v>
      </c>
      <c r="L36" s="32">
        <v>1</v>
      </c>
      <c r="M36">
        <v>5.7</v>
      </c>
      <c r="N36">
        <v>5.7</v>
      </c>
      <c r="O36" s="42">
        <f t="shared" si="5"/>
        <v>3</v>
      </c>
      <c r="Q36" s="22">
        <v>2</v>
      </c>
      <c r="S36" s="16" t="s">
        <v>248</v>
      </c>
      <c r="T36" s="26" t="s">
        <v>236</v>
      </c>
      <c r="U36" s="26" t="s">
        <v>249</v>
      </c>
      <c r="V36" s="26" t="s">
        <v>251</v>
      </c>
      <c r="W36" s="26"/>
      <c r="X36" s="27" t="s">
        <v>293</v>
      </c>
      <c r="Y36" t="s">
        <v>293</v>
      </c>
      <c r="Z36" t="s">
        <v>299</v>
      </c>
      <c r="AA36" s="15">
        <v>3</v>
      </c>
      <c r="AB36" s="42"/>
      <c r="AC36">
        <f t="shared" si="2"/>
        <v>3</v>
      </c>
      <c r="AD36" t="str">
        <f t="shared" si="1"/>
        <v>Atka:2003-2004</v>
      </c>
      <c r="AE36" t="s">
        <v>202</v>
      </c>
      <c r="AF36" t="s">
        <v>222</v>
      </c>
    </row>
    <row r="37" spans="1:42" x14ac:dyDescent="0.2">
      <c r="A37">
        <v>311160</v>
      </c>
      <c r="B37" t="s">
        <v>44</v>
      </c>
      <c r="C37" s="32"/>
      <c r="D37" s="8" t="s">
        <v>362</v>
      </c>
      <c r="E37" s="8" t="s">
        <v>485</v>
      </c>
      <c r="F37">
        <v>0.41917808219178082</v>
      </c>
      <c r="H37">
        <v>5</v>
      </c>
      <c r="I37">
        <v>18</v>
      </c>
      <c r="K37">
        <v>254</v>
      </c>
      <c r="L37" s="32">
        <v>1</v>
      </c>
      <c r="M37">
        <v>5.7</v>
      </c>
      <c r="N37">
        <v>5.7</v>
      </c>
      <c r="O37">
        <v>6</v>
      </c>
      <c r="Q37" s="34">
        <v>1</v>
      </c>
      <c r="T37" s="26" t="s">
        <v>236</v>
      </c>
      <c r="U37" s="26" t="s">
        <v>249</v>
      </c>
      <c r="V37" s="26" t="s">
        <v>251</v>
      </c>
      <c r="W37" s="27" t="s">
        <v>554</v>
      </c>
      <c r="X37" s="27" t="s">
        <v>293</v>
      </c>
      <c r="Y37" t="s">
        <v>293</v>
      </c>
      <c r="Z37" t="s">
        <v>360</v>
      </c>
      <c r="AA37" s="32"/>
      <c r="AB37">
        <v>6</v>
      </c>
      <c r="AC37">
        <f t="shared" si="2"/>
        <v>0</v>
      </c>
      <c r="AD37" t="str">
        <f t="shared" si="1"/>
        <v>Atka:Jun 2006-Nov 2006</v>
      </c>
      <c r="AE37" t="s">
        <v>202</v>
      </c>
      <c r="AF37" t="s">
        <v>222</v>
      </c>
    </row>
    <row r="38" spans="1:42" s="43" customFormat="1" x14ac:dyDescent="0.2">
      <c r="A38">
        <v>313010</v>
      </c>
      <c r="B38" t="s">
        <v>45</v>
      </c>
      <c r="C38" s="33"/>
      <c r="D38" s="8" t="s">
        <v>136</v>
      </c>
      <c r="E38" s="8" t="s">
        <v>164</v>
      </c>
      <c r="F38">
        <v>13</v>
      </c>
      <c r="G38"/>
      <c r="H38"/>
      <c r="I38">
        <v>7</v>
      </c>
      <c r="J38"/>
      <c r="K38">
        <v>38</v>
      </c>
      <c r="L38" s="32">
        <v>1</v>
      </c>
      <c r="M38"/>
      <c r="N38"/>
      <c r="O38">
        <v>8</v>
      </c>
      <c r="P38"/>
      <c r="Q38" s="34">
        <v>2</v>
      </c>
      <c r="R38"/>
      <c r="S38"/>
      <c r="T38" s="26" t="s">
        <v>243</v>
      </c>
      <c r="U38" s="26" t="s">
        <v>252</v>
      </c>
      <c r="V38" s="26" t="s">
        <v>250</v>
      </c>
      <c r="W38" s="27" t="s">
        <v>554</v>
      </c>
      <c r="X38" s="27" t="s">
        <v>293</v>
      </c>
      <c r="Y38" t="s">
        <v>293</v>
      </c>
      <c r="Z38" t="s">
        <v>299</v>
      </c>
      <c r="AA38" s="33"/>
      <c r="AB38">
        <v>8</v>
      </c>
      <c r="AC38">
        <f t="shared" si="2"/>
        <v>0</v>
      </c>
      <c r="AD38" t="str">
        <f t="shared" si="1"/>
        <v>Augustine:1992-2005</v>
      </c>
      <c r="AE38" t="s">
        <v>202</v>
      </c>
      <c r="AF38" t="s">
        <v>222</v>
      </c>
      <c r="AG38"/>
      <c r="AH38"/>
      <c r="AI38"/>
      <c r="AJ38"/>
      <c r="AK38"/>
      <c r="AL38"/>
      <c r="AM38"/>
      <c r="AN38"/>
      <c r="AO38"/>
      <c r="AP38"/>
    </row>
    <row r="39" spans="1:42" x14ac:dyDescent="0.2">
      <c r="A39">
        <v>313010</v>
      </c>
      <c r="B39" t="s">
        <v>45</v>
      </c>
      <c r="C39" s="33"/>
      <c r="D39" s="8" t="s">
        <v>164</v>
      </c>
      <c r="E39" s="8" t="s">
        <v>139</v>
      </c>
      <c r="F39">
        <v>1</v>
      </c>
      <c r="I39">
        <v>4</v>
      </c>
      <c r="K39">
        <v>13</v>
      </c>
      <c r="L39" s="32">
        <v>1</v>
      </c>
      <c r="O39">
        <v>2</v>
      </c>
      <c r="Q39" s="34">
        <v>2</v>
      </c>
      <c r="T39" s="26" t="s">
        <v>243</v>
      </c>
      <c r="U39" s="26" t="s">
        <v>252</v>
      </c>
      <c r="V39" s="26" t="s">
        <v>250</v>
      </c>
      <c r="W39" s="27" t="s">
        <v>554</v>
      </c>
      <c r="X39" s="26" t="s">
        <v>560</v>
      </c>
      <c r="Y39" t="s">
        <v>289</v>
      </c>
      <c r="Z39" t="s">
        <v>297</v>
      </c>
      <c r="AA39" s="33"/>
      <c r="AB39">
        <v>2</v>
      </c>
      <c r="AC39">
        <f t="shared" si="2"/>
        <v>0</v>
      </c>
      <c r="AD39" t="str">
        <f t="shared" si="1"/>
        <v>Augustine:2005-2006</v>
      </c>
      <c r="AE39" t="s">
        <v>202</v>
      </c>
      <c r="AF39" t="s">
        <v>222</v>
      </c>
    </row>
    <row r="40" spans="1:42" x14ac:dyDescent="0.2">
      <c r="A40">
        <v>313010</v>
      </c>
      <c r="B40" s="8" t="s">
        <v>45</v>
      </c>
      <c r="C40" s="15">
        <v>3</v>
      </c>
      <c r="D40" s="8" t="s">
        <v>136</v>
      </c>
      <c r="E40" s="8" t="s">
        <v>164</v>
      </c>
      <c r="F40" s="19">
        <v>13</v>
      </c>
      <c r="I40" s="10">
        <v>7</v>
      </c>
      <c r="J40" s="10">
        <f>K40/(I40*PI())</f>
        <v>1.7279679535691495</v>
      </c>
      <c r="K40" s="15">
        <v>38</v>
      </c>
      <c r="L40" s="32">
        <v>1</v>
      </c>
      <c r="M40">
        <v>9.6</v>
      </c>
      <c r="N40">
        <v>9.6</v>
      </c>
      <c r="O40" s="42">
        <f>C40*F40</f>
        <v>39</v>
      </c>
      <c r="Q40" s="22">
        <v>2</v>
      </c>
      <c r="S40" s="16" t="s">
        <v>248</v>
      </c>
      <c r="T40" s="26" t="s">
        <v>243</v>
      </c>
      <c r="U40" s="26" t="s">
        <v>252</v>
      </c>
      <c r="V40" s="26" t="s">
        <v>250</v>
      </c>
      <c r="W40" s="26"/>
      <c r="X40" s="27" t="s">
        <v>294</v>
      </c>
      <c r="Y40" t="s">
        <v>290</v>
      </c>
      <c r="Z40" t="s">
        <v>300</v>
      </c>
      <c r="AA40" s="15">
        <f>-1*C40</f>
        <v>-3</v>
      </c>
      <c r="AB40" s="42"/>
      <c r="AC40">
        <f t="shared" si="2"/>
        <v>3</v>
      </c>
      <c r="AD40" t="str">
        <f t="shared" si="1"/>
        <v>Augustine:1992-2005</v>
      </c>
      <c r="AE40" t="s">
        <v>202</v>
      </c>
      <c r="AF40" t="s">
        <v>222</v>
      </c>
    </row>
    <row r="41" spans="1:42" x14ac:dyDescent="0.2">
      <c r="A41">
        <v>313010</v>
      </c>
      <c r="B41" s="31" t="s">
        <v>45</v>
      </c>
      <c r="C41" s="15">
        <v>20</v>
      </c>
      <c r="D41" s="8" t="s">
        <v>137</v>
      </c>
      <c r="E41" s="8" t="s">
        <v>180</v>
      </c>
      <c r="F41" s="19">
        <v>0.33424657534246577</v>
      </c>
      <c r="I41" s="10">
        <v>4</v>
      </c>
      <c r="J41" s="10">
        <f>K41/(I41*PI())</f>
        <v>1.0345071300973196</v>
      </c>
      <c r="K41" s="15">
        <v>13</v>
      </c>
      <c r="L41" s="32">
        <v>1</v>
      </c>
      <c r="M41">
        <v>10.6</v>
      </c>
      <c r="N41">
        <v>10.6</v>
      </c>
      <c r="O41" s="42">
        <f>C41*F41</f>
        <v>6.6849315068493151</v>
      </c>
      <c r="Q41" s="22">
        <v>2</v>
      </c>
      <c r="S41" s="16" t="s">
        <v>248</v>
      </c>
      <c r="T41" s="26" t="s">
        <v>243</v>
      </c>
      <c r="U41" s="26" t="s">
        <v>252</v>
      </c>
      <c r="V41" s="26" t="s">
        <v>250</v>
      </c>
      <c r="W41" s="26"/>
      <c r="X41" s="27" t="s">
        <v>293</v>
      </c>
      <c r="Y41" t="s">
        <v>293</v>
      </c>
      <c r="Z41" s="26" t="s">
        <v>563</v>
      </c>
      <c r="AA41" s="15">
        <v>20</v>
      </c>
      <c r="AB41" s="42"/>
      <c r="AC41">
        <f t="shared" si="2"/>
        <v>20</v>
      </c>
      <c r="AD41" t="str">
        <f t="shared" si="1"/>
        <v>Augustine:Sept 2005-Jan 2006</v>
      </c>
      <c r="AE41" t="s">
        <v>202</v>
      </c>
      <c r="AF41" t="s">
        <v>222</v>
      </c>
    </row>
    <row r="42" spans="1:42" x14ac:dyDescent="0.2">
      <c r="A42">
        <v>313010</v>
      </c>
      <c r="B42" s="8" t="s">
        <v>45</v>
      </c>
      <c r="C42" s="15">
        <v>48</v>
      </c>
      <c r="D42" s="8" t="s">
        <v>139</v>
      </c>
      <c r="E42" s="8" t="s">
        <v>182</v>
      </c>
      <c r="F42" s="19">
        <v>4</v>
      </c>
      <c r="J42" s="10"/>
      <c r="O42" s="45">
        <f>C42*F42</f>
        <v>192</v>
      </c>
      <c r="Q42" s="22">
        <v>2</v>
      </c>
      <c r="S42" s="16" t="s">
        <v>248</v>
      </c>
      <c r="T42" s="26" t="s">
        <v>243</v>
      </c>
      <c r="U42" s="26" t="s">
        <v>252</v>
      </c>
      <c r="V42" s="26" t="s">
        <v>250</v>
      </c>
      <c r="W42" s="26"/>
      <c r="X42" s="27" t="s">
        <v>294</v>
      </c>
      <c r="Y42" t="s">
        <v>290</v>
      </c>
      <c r="Z42" t="s">
        <v>308</v>
      </c>
      <c r="AA42" s="15">
        <f>-1*C42</f>
        <v>-48</v>
      </c>
      <c r="AB42" s="42"/>
      <c r="AC42">
        <f t="shared" si="2"/>
        <v>48</v>
      </c>
      <c r="AD42" t="str">
        <f t="shared" si="1"/>
        <v>Augustine:2006-2010</v>
      </c>
      <c r="AE42" t="s">
        <v>202</v>
      </c>
      <c r="AF42" t="s">
        <v>222</v>
      </c>
    </row>
    <row r="43" spans="1:42" x14ac:dyDescent="0.2">
      <c r="A43">
        <v>313010</v>
      </c>
      <c r="B43" s="31" t="s">
        <v>45</v>
      </c>
      <c r="C43" s="15">
        <v>55</v>
      </c>
      <c r="D43" s="8" t="s">
        <v>138</v>
      </c>
      <c r="E43" s="8" t="s">
        <v>181</v>
      </c>
      <c r="F43" s="19">
        <v>3.5616438356164383E-2</v>
      </c>
      <c r="J43" s="10"/>
      <c r="O43" s="45">
        <f>C43*F43</f>
        <v>1.9589041095890412</v>
      </c>
      <c r="Q43" s="22">
        <v>2</v>
      </c>
      <c r="S43" s="16" t="s">
        <v>248</v>
      </c>
      <c r="T43" s="26" t="s">
        <v>243</v>
      </c>
      <c r="U43" s="26" t="s">
        <v>252</v>
      </c>
      <c r="V43" s="26" t="s">
        <v>250</v>
      </c>
      <c r="W43" s="26"/>
      <c r="X43" s="27" t="s">
        <v>294</v>
      </c>
      <c r="Y43" t="s">
        <v>290</v>
      </c>
      <c r="AA43" s="15">
        <f>-1*C43</f>
        <v>-55</v>
      </c>
      <c r="AB43" s="42"/>
      <c r="AC43">
        <f t="shared" si="2"/>
        <v>55</v>
      </c>
      <c r="AD43" t="str">
        <f t="shared" si="1"/>
        <v>Augustine:28 Jan 2006-10 Feb 2006</v>
      </c>
      <c r="AE43" t="s">
        <v>202</v>
      </c>
      <c r="AF43" t="s">
        <v>222</v>
      </c>
    </row>
    <row r="44" spans="1:42" s="43" customFormat="1" x14ac:dyDescent="0.2">
      <c r="A44">
        <v>353060</v>
      </c>
      <c r="B44" t="s">
        <v>322</v>
      </c>
      <c r="C44" s="33"/>
      <c r="D44" s="8" t="s">
        <v>373</v>
      </c>
      <c r="E44" s="8" t="s">
        <v>374</v>
      </c>
      <c r="F44">
        <v>5.2547945205479456</v>
      </c>
      <c r="G44"/>
      <c r="H44"/>
      <c r="I44" s="10">
        <v>11</v>
      </c>
      <c r="J44" s="10"/>
      <c r="K44" s="38">
        <f>PI()*(I44/2)^2</f>
        <v>95.033177771091246</v>
      </c>
      <c r="L44" s="32">
        <v>1</v>
      </c>
      <c r="M44">
        <v>5</v>
      </c>
      <c r="N44">
        <v>5</v>
      </c>
      <c r="O44">
        <v>13</v>
      </c>
      <c r="P44"/>
      <c r="Q44" s="34">
        <v>2</v>
      </c>
      <c r="R44"/>
      <c r="S44"/>
      <c r="T44" s="16" t="s">
        <v>238</v>
      </c>
      <c r="U44" s="16" t="s">
        <v>258</v>
      </c>
      <c r="V44" s="16" t="s">
        <v>251</v>
      </c>
      <c r="W44" s="27" t="s">
        <v>554</v>
      </c>
      <c r="X44" s="27" t="s">
        <v>293</v>
      </c>
      <c r="Y44" t="s">
        <v>293</v>
      </c>
      <c r="Z44" t="s">
        <v>299</v>
      </c>
      <c r="AA44" s="33"/>
      <c r="AB44">
        <v>13</v>
      </c>
      <c r="AC44">
        <f t="shared" si="2"/>
        <v>0</v>
      </c>
      <c r="AD44" t="str">
        <f t="shared" si="1"/>
        <v>Azul, Cerro:July 1992-Oct 1997</v>
      </c>
      <c r="AE44" t="s">
        <v>202</v>
      </c>
      <c r="AF44" t="s">
        <v>222</v>
      </c>
      <c r="AG44"/>
      <c r="AH44"/>
      <c r="AI44"/>
      <c r="AJ44"/>
      <c r="AK44"/>
      <c r="AL44"/>
      <c r="AM44"/>
      <c r="AN44"/>
      <c r="AO44"/>
      <c r="AP44"/>
    </row>
    <row r="45" spans="1:42" x14ac:dyDescent="0.2">
      <c r="A45">
        <v>353060</v>
      </c>
      <c r="B45" t="s">
        <v>322</v>
      </c>
      <c r="C45" s="33"/>
      <c r="D45" s="8" t="s">
        <v>374</v>
      </c>
      <c r="E45" s="8" t="s">
        <v>375</v>
      </c>
      <c r="F45">
        <v>1.0849315068493151</v>
      </c>
      <c r="J45" s="10"/>
      <c r="K45" s="38"/>
      <c r="L45" s="32">
        <v>1</v>
      </c>
      <c r="M45">
        <v>5</v>
      </c>
      <c r="N45">
        <v>5</v>
      </c>
      <c r="O45">
        <v>26</v>
      </c>
      <c r="Q45" s="34">
        <v>2</v>
      </c>
      <c r="T45" s="16" t="s">
        <v>238</v>
      </c>
      <c r="U45" s="16" t="s">
        <v>258</v>
      </c>
      <c r="V45" s="16" t="s">
        <v>251</v>
      </c>
      <c r="W45" s="27" t="s">
        <v>554</v>
      </c>
      <c r="X45" s="27" t="s">
        <v>294</v>
      </c>
      <c r="Y45" t="s">
        <v>290</v>
      </c>
      <c r="Z45" t="s">
        <v>297</v>
      </c>
      <c r="AA45" s="15">
        <f>-1*C45</f>
        <v>0</v>
      </c>
      <c r="AB45" s="42"/>
      <c r="AC45">
        <f t="shared" si="2"/>
        <v>0</v>
      </c>
      <c r="AD45" t="str">
        <f t="shared" si="1"/>
        <v>Azul, Cerro:Oct 1997-Nov 1998</v>
      </c>
      <c r="AE45" t="s">
        <v>202</v>
      </c>
      <c r="AF45" t="s">
        <v>222</v>
      </c>
    </row>
    <row r="46" spans="1:42" x14ac:dyDescent="0.2">
      <c r="A46" s="6">
        <v>373030</v>
      </c>
      <c r="B46" s="31" t="s">
        <v>46</v>
      </c>
      <c r="C46" s="15">
        <v>18250</v>
      </c>
      <c r="D46" s="8" t="s">
        <v>140</v>
      </c>
      <c r="E46" s="8" t="s">
        <v>183</v>
      </c>
      <c r="F46" s="19">
        <v>0.16986301369863013</v>
      </c>
      <c r="I46" s="10">
        <v>12</v>
      </c>
      <c r="J46" s="10">
        <f>K46/(I46*PI())</f>
        <v>3</v>
      </c>
      <c r="K46" s="15">
        <v>113.09733552923255</v>
      </c>
      <c r="L46">
        <f>I46/J46</f>
        <v>4</v>
      </c>
      <c r="M46">
        <v>12</v>
      </c>
      <c r="N46">
        <v>12</v>
      </c>
      <c r="O46" s="42">
        <f>C46*F46</f>
        <v>3100</v>
      </c>
      <c r="Q46" s="22">
        <v>2</v>
      </c>
      <c r="S46" s="16" t="s">
        <v>281</v>
      </c>
      <c r="T46" s="26" t="s">
        <v>234</v>
      </c>
      <c r="U46" s="26" t="s">
        <v>258</v>
      </c>
      <c r="V46" s="26" t="s">
        <v>251</v>
      </c>
      <c r="W46" s="26"/>
      <c r="X46" s="27" t="s">
        <v>294</v>
      </c>
      <c r="Y46" t="s">
        <v>290</v>
      </c>
      <c r="Z46" t="s">
        <v>314</v>
      </c>
      <c r="AA46" s="15">
        <f>-1*C46</f>
        <v>-18250</v>
      </c>
      <c r="AB46" s="42"/>
      <c r="AC46">
        <f t="shared" ref="AC46:AC80" si="6">ABS(C46)</f>
        <v>18250</v>
      </c>
      <c r="AD46" t="str">
        <f t="shared" si="1"/>
        <v>Bardarbunga:16 Aug 2014-17 Oct 2014</v>
      </c>
      <c r="AE46" t="s">
        <v>202</v>
      </c>
      <c r="AF46" t="s">
        <v>222</v>
      </c>
    </row>
    <row r="47" spans="1:42" x14ac:dyDescent="0.2">
      <c r="A47">
        <v>221240</v>
      </c>
      <c r="B47" t="s">
        <v>340</v>
      </c>
      <c r="C47" s="32"/>
      <c r="D47" s="8" t="s">
        <v>486</v>
      </c>
      <c r="E47" s="8" t="s">
        <v>483</v>
      </c>
      <c r="F47">
        <v>2.5890410958904111</v>
      </c>
      <c r="H47">
        <v>8</v>
      </c>
      <c r="I47">
        <v>8</v>
      </c>
      <c r="K47">
        <v>50</v>
      </c>
      <c r="L47" s="32">
        <v>1</v>
      </c>
      <c r="M47">
        <v>1.9</v>
      </c>
      <c r="N47">
        <v>1.9</v>
      </c>
      <c r="O47">
        <v>5.3</v>
      </c>
      <c r="Q47" s="34">
        <v>1</v>
      </c>
      <c r="T47" s="26" t="s">
        <v>242</v>
      </c>
      <c r="U47" s="26" t="s">
        <v>254</v>
      </c>
      <c r="V47" s="26" t="s">
        <v>256</v>
      </c>
      <c r="W47" s="27" t="s">
        <v>554</v>
      </c>
      <c r="X47" s="27" t="s">
        <v>293</v>
      </c>
      <c r="Y47" t="s">
        <v>286</v>
      </c>
      <c r="Z47" t="s">
        <v>299</v>
      </c>
      <c r="AA47" s="32"/>
      <c r="AB47">
        <v>5.3</v>
      </c>
      <c r="AC47">
        <f t="shared" si="6"/>
        <v>0</v>
      </c>
      <c r="AD47" t="str">
        <f t="shared" si="1"/>
        <v>Bora-Bericcio:26 Dec 2007-28 Jul 2010</v>
      </c>
      <c r="AE47" t="s">
        <v>202</v>
      </c>
      <c r="AF47" t="s">
        <v>222</v>
      </c>
    </row>
    <row r="48" spans="1:42" x14ac:dyDescent="0.2">
      <c r="A48">
        <v>211010</v>
      </c>
      <c r="B48" t="s">
        <v>79</v>
      </c>
      <c r="C48" s="32"/>
      <c r="D48" s="8" t="s">
        <v>487</v>
      </c>
      <c r="E48" s="8" t="s">
        <v>488</v>
      </c>
      <c r="F48">
        <v>7.5041095890410956</v>
      </c>
      <c r="I48">
        <v>15</v>
      </c>
      <c r="K48">
        <v>177</v>
      </c>
      <c r="L48" s="32">
        <v>1.5</v>
      </c>
      <c r="M48">
        <v>1.3</v>
      </c>
      <c r="N48">
        <v>3</v>
      </c>
      <c r="O48">
        <v>3.3</v>
      </c>
      <c r="Q48" s="34">
        <v>1</v>
      </c>
      <c r="T48" s="26" t="s">
        <v>233</v>
      </c>
      <c r="U48" s="26" t="s">
        <v>252</v>
      </c>
      <c r="V48" s="26" t="s">
        <v>255</v>
      </c>
      <c r="W48" s="27" t="s">
        <v>554</v>
      </c>
      <c r="X48" s="27" t="s">
        <v>294</v>
      </c>
      <c r="Y48" t="s">
        <v>287</v>
      </c>
      <c r="AA48" s="15">
        <f>-1*C48</f>
        <v>0</v>
      </c>
      <c r="AB48" s="42"/>
      <c r="AC48">
        <f t="shared" si="6"/>
        <v>0</v>
      </c>
      <c r="AD48" t="str">
        <f t="shared" si="1"/>
        <v>Campi Flegrei:Jun 1992-Dec 1999</v>
      </c>
      <c r="AE48" t="s">
        <v>202</v>
      </c>
      <c r="AF48" t="s">
        <v>222</v>
      </c>
    </row>
    <row r="49" spans="1:42" x14ac:dyDescent="0.2">
      <c r="A49">
        <v>211010</v>
      </c>
      <c r="B49" t="s">
        <v>79</v>
      </c>
      <c r="C49" s="32"/>
      <c r="D49" s="8" t="s">
        <v>463</v>
      </c>
      <c r="E49" s="8" t="s">
        <v>491</v>
      </c>
      <c r="F49">
        <v>2</v>
      </c>
      <c r="I49">
        <v>10</v>
      </c>
      <c r="K49">
        <v>79</v>
      </c>
      <c r="L49" s="32">
        <v>2</v>
      </c>
      <c r="M49">
        <v>1.8</v>
      </c>
      <c r="N49">
        <v>2.1</v>
      </c>
      <c r="O49">
        <v>2.6</v>
      </c>
      <c r="Q49" s="34">
        <v>1</v>
      </c>
      <c r="T49" s="26" t="s">
        <v>233</v>
      </c>
      <c r="U49" s="26" t="s">
        <v>252</v>
      </c>
      <c r="V49" s="26" t="s">
        <v>255</v>
      </c>
      <c r="W49" s="27" t="s">
        <v>554</v>
      </c>
      <c r="X49" s="27" t="s">
        <v>293</v>
      </c>
      <c r="Y49" t="s">
        <v>286</v>
      </c>
      <c r="AA49" s="32"/>
      <c r="AB49">
        <v>2.6</v>
      </c>
      <c r="AC49">
        <f t="shared" si="6"/>
        <v>0</v>
      </c>
      <c r="AD49" t="str">
        <f t="shared" si="1"/>
        <v>Campi Flegrei:2004-2006</v>
      </c>
      <c r="AE49" t="s">
        <v>202</v>
      </c>
      <c r="AF49" t="s">
        <v>222</v>
      </c>
    </row>
    <row r="50" spans="1:42" x14ac:dyDescent="0.2">
      <c r="A50">
        <v>211010</v>
      </c>
      <c r="B50" s="8" t="s">
        <v>79</v>
      </c>
      <c r="C50" s="15">
        <v>5</v>
      </c>
      <c r="D50" s="8" t="s">
        <v>165</v>
      </c>
      <c r="E50" s="8" t="s">
        <v>154</v>
      </c>
      <c r="F50" s="19">
        <v>3</v>
      </c>
      <c r="I50">
        <v>20</v>
      </c>
      <c r="J50" s="10"/>
      <c r="K50" s="15">
        <v>314</v>
      </c>
      <c r="L50" s="32">
        <v>1.5</v>
      </c>
      <c r="M50">
        <v>1.8</v>
      </c>
      <c r="N50">
        <v>1.8</v>
      </c>
      <c r="O50" s="42">
        <f>C50*F50</f>
        <v>15</v>
      </c>
      <c r="Q50" s="22">
        <v>1</v>
      </c>
      <c r="S50" s="16" t="s">
        <v>270</v>
      </c>
      <c r="T50" s="26" t="s">
        <v>233</v>
      </c>
      <c r="U50" s="26" t="s">
        <v>252</v>
      </c>
      <c r="V50" s="26" t="s">
        <v>255</v>
      </c>
      <c r="W50" s="26"/>
      <c r="X50" s="27" t="s">
        <v>293</v>
      </c>
      <c r="Y50" t="s">
        <v>286</v>
      </c>
      <c r="Z50" s="26" t="s">
        <v>563</v>
      </c>
      <c r="AA50" s="15">
        <v>5</v>
      </c>
      <c r="AB50" s="42"/>
      <c r="AC50">
        <f t="shared" si="6"/>
        <v>5</v>
      </c>
      <c r="AD50" t="str">
        <f t="shared" si="1"/>
        <v>Campi Flegrei:2010-2013</v>
      </c>
      <c r="AE50" t="s">
        <v>232</v>
      </c>
      <c r="AF50" t="s">
        <v>222</v>
      </c>
    </row>
    <row r="51" spans="1:42" x14ac:dyDescent="0.2">
      <c r="A51">
        <v>211010</v>
      </c>
      <c r="B51" t="s">
        <v>79</v>
      </c>
      <c r="C51" s="32"/>
      <c r="D51" s="8" t="s">
        <v>489</v>
      </c>
      <c r="E51" s="8" t="s">
        <v>490</v>
      </c>
      <c r="F51">
        <v>0.41917808219178082</v>
      </c>
      <c r="I51">
        <v>8</v>
      </c>
      <c r="K51">
        <v>50</v>
      </c>
      <c r="L51" s="32">
        <v>1.5</v>
      </c>
      <c r="M51">
        <v>1.4</v>
      </c>
      <c r="N51">
        <v>3.2</v>
      </c>
      <c r="O51">
        <v>4.4000000000000004</v>
      </c>
      <c r="Q51" s="34">
        <v>1</v>
      </c>
      <c r="T51" s="26" t="s">
        <v>233</v>
      </c>
      <c r="U51" s="26" t="s">
        <v>252</v>
      </c>
      <c r="V51" s="26" t="s">
        <v>255</v>
      </c>
      <c r="W51" s="27" t="s">
        <v>554</v>
      </c>
      <c r="X51" s="27" t="s">
        <v>293</v>
      </c>
      <c r="Y51" t="s">
        <v>286</v>
      </c>
      <c r="AA51" s="32"/>
      <c r="AB51">
        <v>4.4000000000000004</v>
      </c>
      <c r="AC51">
        <f t="shared" si="6"/>
        <v>0</v>
      </c>
      <c r="AD51" t="str">
        <f t="shared" si="1"/>
        <v>Campi Flegrei:Mar 2000-Aug 2000</v>
      </c>
      <c r="AE51" t="s">
        <v>202</v>
      </c>
      <c r="AF51" t="s">
        <v>222</v>
      </c>
    </row>
    <row r="52" spans="1:42" x14ac:dyDescent="0.2">
      <c r="A52">
        <v>358041</v>
      </c>
      <c r="B52" t="s">
        <v>323</v>
      </c>
      <c r="C52" s="32"/>
      <c r="D52" s="8" t="s">
        <v>376</v>
      </c>
      <c r="E52" s="8" t="s">
        <v>377</v>
      </c>
      <c r="F52">
        <f>92/365</f>
        <v>0.25205479452054796</v>
      </c>
      <c r="O52">
        <v>22</v>
      </c>
      <c r="Q52" s="34">
        <v>2</v>
      </c>
      <c r="T52" s="16" t="s">
        <v>233</v>
      </c>
      <c r="U52" s="16" t="s">
        <v>252</v>
      </c>
      <c r="V52" s="16" t="s">
        <v>256</v>
      </c>
      <c r="W52" s="27" t="s">
        <v>554</v>
      </c>
      <c r="X52" s="27" t="s">
        <v>294</v>
      </c>
      <c r="Y52" t="s">
        <v>290</v>
      </c>
      <c r="Z52" t="s">
        <v>297</v>
      </c>
      <c r="AA52" s="15">
        <f>-1*C52</f>
        <v>0</v>
      </c>
      <c r="AB52" s="42"/>
      <c r="AC52">
        <f t="shared" si="6"/>
        <v>0</v>
      </c>
      <c r="AD52" t="str">
        <f t="shared" si="1"/>
        <v>Chaitén:4/16/2008-7/17/2008</v>
      </c>
      <c r="AE52" t="s">
        <v>202</v>
      </c>
      <c r="AF52" t="s">
        <v>222</v>
      </c>
    </row>
    <row r="53" spans="1:42" x14ac:dyDescent="0.2">
      <c r="A53">
        <v>305060</v>
      </c>
      <c r="B53" t="s">
        <v>80</v>
      </c>
      <c r="C53" s="32"/>
      <c r="D53" s="8" t="s">
        <v>458</v>
      </c>
      <c r="E53" s="8" t="s">
        <v>495</v>
      </c>
      <c r="F53">
        <v>1.832876712328767</v>
      </c>
      <c r="O53">
        <v>1</v>
      </c>
      <c r="Q53" s="34">
        <v>1</v>
      </c>
      <c r="T53" s="16" t="s">
        <v>234</v>
      </c>
      <c r="U53" s="16" t="s">
        <v>263</v>
      </c>
      <c r="V53" s="16" t="s">
        <v>255</v>
      </c>
      <c r="W53" s="27" t="s">
        <v>554</v>
      </c>
      <c r="X53" s="27" t="s">
        <v>294</v>
      </c>
      <c r="Y53" t="s">
        <v>294</v>
      </c>
      <c r="Z53" t="s">
        <v>299</v>
      </c>
      <c r="AA53" s="15">
        <f>-1*C53</f>
        <v>0</v>
      </c>
      <c r="AB53" s="42"/>
      <c r="AC53">
        <f t="shared" si="6"/>
        <v>0</v>
      </c>
      <c r="AD53" t="str">
        <f t="shared" si="1"/>
        <v>Changbaishan:Aug 2008-June 2010</v>
      </c>
      <c r="AE53" t="s">
        <v>202</v>
      </c>
      <c r="AF53" t="s">
        <v>222</v>
      </c>
    </row>
    <row r="54" spans="1:42" x14ac:dyDescent="0.2">
      <c r="A54">
        <v>305060</v>
      </c>
      <c r="B54" t="s">
        <v>80</v>
      </c>
      <c r="C54" s="32"/>
      <c r="D54" s="8" t="s">
        <v>494</v>
      </c>
      <c r="E54" s="8" t="s">
        <v>458</v>
      </c>
      <c r="F54">
        <v>2.0027397260273974</v>
      </c>
      <c r="I54">
        <v>12</v>
      </c>
      <c r="K54">
        <v>113</v>
      </c>
      <c r="L54" s="32">
        <v>1</v>
      </c>
      <c r="M54">
        <v>9</v>
      </c>
      <c r="N54">
        <v>9</v>
      </c>
      <c r="O54">
        <v>2</v>
      </c>
      <c r="Q54" s="34">
        <v>1</v>
      </c>
      <c r="T54" s="16" t="s">
        <v>234</v>
      </c>
      <c r="U54" s="16" t="s">
        <v>263</v>
      </c>
      <c r="V54" s="16" t="s">
        <v>255</v>
      </c>
      <c r="W54" s="27" t="s">
        <v>554</v>
      </c>
      <c r="X54" s="27" t="s">
        <v>293</v>
      </c>
      <c r="Y54" t="s">
        <v>355</v>
      </c>
      <c r="Z54" t="s">
        <v>299</v>
      </c>
      <c r="AA54" s="32"/>
      <c r="AB54">
        <v>2</v>
      </c>
      <c r="AC54">
        <f t="shared" si="6"/>
        <v>0</v>
      </c>
      <c r="AD54" t="str">
        <f t="shared" si="1"/>
        <v>Changbaishan:Aug 2006-Aug 2008</v>
      </c>
      <c r="AE54" t="s">
        <v>202</v>
      </c>
      <c r="AF54" t="s">
        <v>222</v>
      </c>
    </row>
    <row r="55" spans="1:42" s="43" customFormat="1" x14ac:dyDescent="0.2">
      <c r="A55">
        <v>305060</v>
      </c>
      <c r="B55" t="s">
        <v>80</v>
      </c>
      <c r="C55" s="32"/>
      <c r="D55" s="8" t="s">
        <v>492</v>
      </c>
      <c r="E55" s="8" t="s">
        <v>493</v>
      </c>
      <c r="F55">
        <v>3.0136986301369864</v>
      </c>
      <c r="G55"/>
      <c r="H55"/>
      <c r="I55"/>
      <c r="J55"/>
      <c r="K55"/>
      <c r="L55"/>
      <c r="M55"/>
      <c r="N55"/>
      <c r="O55">
        <v>12</v>
      </c>
      <c r="P55"/>
      <c r="Q55" s="34">
        <v>1</v>
      </c>
      <c r="R55"/>
      <c r="S55"/>
      <c r="T55" s="16" t="s">
        <v>234</v>
      </c>
      <c r="U55" s="16" t="s">
        <v>263</v>
      </c>
      <c r="V55" s="16" t="s">
        <v>255</v>
      </c>
      <c r="W55" s="27" t="s">
        <v>554</v>
      </c>
      <c r="X55" s="27" t="s">
        <v>293</v>
      </c>
      <c r="Y55" t="s">
        <v>355</v>
      </c>
      <c r="Z55"/>
      <c r="AA55" s="32"/>
      <c r="AB55">
        <v>12</v>
      </c>
      <c r="AC55">
        <f t="shared" si="6"/>
        <v>0</v>
      </c>
      <c r="AD55" t="str">
        <f t="shared" si="1"/>
        <v>Changbaishan:16 Aug 1995-20 Aug 1998</v>
      </c>
      <c r="AE55" t="s">
        <v>202</v>
      </c>
      <c r="AF55" t="s">
        <v>222</v>
      </c>
      <c r="AG55"/>
      <c r="AH55"/>
      <c r="AI55"/>
      <c r="AJ55"/>
      <c r="AK55"/>
      <c r="AL55"/>
      <c r="AM55"/>
      <c r="AN55"/>
      <c r="AO55"/>
      <c r="AP55"/>
    </row>
    <row r="56" spans="1:42" x14ac:dyDescent="0.2">
      <c r="A56">
        <v>311240</v>
      </c>
      <c r="B56" s="8" t="s">
        <v>81</v>
      </c>
      <c r="C56" s="15">
        <v>4</v>
      </c>
      <c r="D56" s="8" t="s">
        <v>135</v>
      </c>
      <c r="E56" s="8" t="s">
        <v>179</v>
      </c>
      <c r="F56" s="19">
        <v>5</v>
      </c>
      <c r="J56" s="10"/>
      <c r="O56" s="45">
        <f>C56*F56</f>
        <v>20</v>
      </c>
      <c r="Q56" s="22">
        <v>1</v>
      </c>
      <c r="S56" s="16" t="s">
        <v>248</v>
      </c>
      <c r="T56" s="26" t="s">
        <v>234</v>
      </c>
      <c r="U56" s="26" t="s">
        <v>249</v>
      </c>
      <c r="V56" s="26" t="s">
        <v>250</v>
      </c>
      <c r="W56" s="26"/>
      <c r="X56" s="27" t="s">
        <v>294</v>
      </c>
      <c r="Y56" t="s">
        <v>290</v>
      </c>
      <c r="Z56" t="s">
        <v>300</v>
      </c>
      <c r="AA56" s="15">
        <f>-1*C56</f>
        <v>-4</v>
      </c>
      <c r="AB56" s="42"/>
      <c r="AC56">
        <f t="shared" si="6"/>
        <v>4</v>
      </c>
      <c r="AD56" t="str">
        <f t="shared" si="1"/>
        <v>Cleveland:2004-2009</v>
      </c>
      <c r="AE56" t="s">
        <v>202</v>
      </c>
      <c r="AF56" t="s">
        <v>222</v>
      </c>
    </row>
    <row r="57" spans="1:42" x14ac:dyDescent="0.2">
      <c r="A57">
        <v>341040</v>
      </c>
      <c r="B57" s="8" t="s">
        <v>47</v>
      </c>
      <c r="C57" s="15">
        <v>3</v>
      </c>
      <c r="D57" s="8" t="s">
        <v>141</v>
      </c>
      <c r="E57" s="8" t="s">
        <v>139</v>
      </c>
      <c r="F57" s="19">
        <v>4</v>
      </c>
      <c r="J57" s="10"/>
      <c r="O57" s="45">
        <f>C57*F57</f>
        <v>12</v>
      </c>
      <c r="Q57" s="22">
        <v>2</v>
      </c>
      <c r="S57" s="16" t="s">
        <v>278</v>
      </c>
      <c r="T57" s="26" t="s">
        <v>236</v>
      </c>
      <c r="U57" s="26" t="s">
        <v>252</v>
      </c>
      <c r="V57" s="26" t="s">
        <v>250</v>
      </c>
      <c r="W57" s="26"/>
      <c r="X57" s="27" t="s">
        <v>294</v>
      </c>
      <c r="Y57" t="s">
        <v>290</v>
      </c>
      <c r="Z57" t="s">
        <v>311</v>
      </c>
      <c r="AA57" s="15">
        <f>-1*C57</f>
        <v>-3</v>
      </c>
      <c r="AB57" s="42"/>
      <c r="AC57">
        <f t="shared" si="6"/>
        <v>3</v>
      </c>
      <c r="AD57" t="str">
        <f t="shared" si="1"/>
        <v>Colima:2002-2006</v>
      </c>
      <c r="AE57" t="s">
        <v>202</v>
      </c>
      <c r="AF57" t="s">
        <v>222</v>
      </c>
    </row>
    <row r="58" spans="1:42" x14ac:dyDescent="0.2">
      <c r="A58">
        <v>341040</v>
      </c>
      <c r="B58" s="8" t="s">
        <v>47</v>
      </c>
      <c r="C58" s="15">
        <v>4</v>
      </c>
      <c r="D58" s="8" t="s">
        <v>142</v>
      </c>
      <c r="E58" s="8" t="s">
        <v>184</v>
      </c>
      <c r="F58" s="19">
        <v>3.0136986301369864E-2</v>
      </c>
      <c r="I58">
        <v>1</v>
      </c>
      <c r="J58" s="10"/>
      <c r="K58" s="15">
        <v>1</v>
      </c>
      <c r="L58" s="32">
        <v>1</v>
      </c>
      <c r="M58" s="12">
        <v>0.2</v>
      </c>
      <c r="N58" s="12">
        <v>0.2</v>
      </c>
      <c r="O58" s="42">
        <f>C58*F58</f>
        <v>0.12054794520547946</v>
      </c>
      <c r="Q58" s="22">
        <v>2</v>
      </c>
      <c r="S58" s="16" t="s">
        <v>278</v>
      </c>
      <c r="T58" s="26" t="s">
        <v>236</v>
      </c>
      <c r="U58" s="26" t="s">
        <v>252</v>
      </c>
      <c r="V58" s="26" t="s">
        <v>250</v>
      </c>
      <c r="W58" s="26"/>
      <c r="X58" s="27" t="s">
        <v>561</v>
      </c>
      <c r="Y58" t="s">
        <v>288</v>
      </c>
      <c r="Z58" t="s">
        <v>299</v>
      </c>
      <c r="AA58" s="15">
        <f>-1*C58</f>
        <v>-4</v>
      </c>
      <c r="AB58" s="42"/>
      <c r="AC58">
        <f t="shared" si="6"/>
        <v>4</v>
      </c>
      <c r="AD58" t="str">
        <f t="shared" si="1"/>
        <v>Colima:26 Dec 2012-6 Jan 2013</v>
      </c>
      <c r="AE58" t="s">
        <v>202</v>
      </c>
      <c r="AF58" t="s">
        <v>222</v>
      </c>
    </row>
    <row r="59" spans="1:42" x14ac:dyDescent="0.2">
      <c r="A59">
        <v>357090</v>
      </c>
      <c r="B59" s="8" t="s">
        <v>48</v>
      </c>
      <c r="C59" s="15">
        <v>2</v>
      </c>
      <c r="D59" s="8" t="s">
        <v>141</v>
      </c>
      <c r="E59" s="8" t="s">
        <v>151</v>
      </c>
      <c r="F59" s="19">
        <v>6</v>
      </c>
      <c r="I59">
        <v>10</v>
      </c>
      <c r="J59" s="10"/>
      <c r="K59" s="15">
        <v>79</v>
      </c>
      <c r="L59" s="32">
        <v>1</v>
      </c>
      <c r="M59">
        <v>3.4</v>
      </c>
      <c r="N59">
        <v>5.6</v>
      </c>
      <c r="O59" s="45">
        <f>C59*F59</f>
        <v>12</v>
      </c>
      <c r="Q59" s="22">
        <v>2</v>
      </c>
      <c r="S59" s="16" t="s">
        <v>279</v>
      </c>
      <c r="T59" s="26" t="s">
        <v>234</v>
      </c>
      <c r="U59" s="26" t="s">
        <v>252</v>
      </c>
      <c r="V59" s="26" t="s">
        <v>259</v>
      </c>
      <c r="W59" s="26"/>
      <c r="X59" s="27" t="s">
        <v>294</v>
      </c>
      <c r="Y59" t="s">
        <v>290</v>
      </c>
      <c r="Z59" t="s">
        <v>304</v>
      </c>
      <c r="AA59" s="15">
        <f>-1*C59</f>
        <v>-2</v>
      </c>
      <c r="AB59" s="42"/>
      <c r="AC59">
        <f t="shared" si="6"/>
        <v>2</v>
      </c>
      <c r="AD59" t="str">
        <f t="shared" si="1"/>
        <v>Copahue:2002-2008</v>
      </c>
      <c r="AE59" t="s">
        <v>202</v>
      </c>
      <c r="AF59" t="s">
        <v>222</v>
      </c>
    </row>
    <row r="60" spans="1:42" x14ac:dyDescent="0.2">
      <c r="A60">
        <v>357090</v>
      </c>
      <c r="B60" s="6" t="s">
        <v>48</v>
      </c>
      <c r="C60" s="32"/>
      <c r="D60" s="8" t="s">
        <v>378</v>
      </c>
      <c r="E60" s="8" t="s">
        <v>379</v>
      </c>
      <c r="F60">
        <v>3</v>
      </c>
      <c r="I60">
        <v>10</v>
      </c>
      <c r="K60">
        <v>79</v>
      </c>
      <c r="L60" s="32">
        <v>1</v>
      </c>
      <c r="O60">
        <v>25</v>
      </c>
      <c r="Q60" s="34">
        <v>2</v>
      </c>
      <c r="T60" s="26" t="s">
        <v>234</v>
      </c>
      <c r="U60" s="26" t="s">
        <v>252</v>
      </c>
      <c r="V60" s="26" t="s">
        <v>259</v>
      </c>
      <c r="W60" s="27" t="s">
        <v>554</v>
      </c>
      <c r="X60" s="27" t="s">
        <v>293</v>
      </c>
      <c r="Y60" t="s">
        <v>293</v>
      </c>
      <c r="AA60" s="32"/>
      <c r="AB60">
        <v>25</v>
      </c>
      <c r="AC60">
        <f t="shared" si="6"/>
        <v>0</v>
      </c>
      <c r="AD60" t="str">
        <f t="shared" si="1"/>
        <v>Copahue:2011.5-2014.5</v>
      </c>
      <c r="AE60" t="s">
        <v>202</v>
      </c>
      <c r="AF60" t="s">
        <v>222</v>
      </c>
    </row>
    <row r="61" spans="1:42" x14ac:dyDescent="0.2">
      <c r="A61">
        <v>221290</v>
      </c>
      <c r="B61" s="29" t="s">
        <v>25</v>
      </c>
      <c r="C61" s="18">
        <v>4.5999999999999996</v>
      </c>
      <c r="D61" s="2"/>
      <c r="E61" s="2"/>
      <c r="F61" s="2" t="s">
        <v>6</v>
      </c>
      <c r="G61" s="2" t="s">
        <v>7</v>
      </c>
      <c r="H61" s="2">
        <v>0</v>
      </c>
      <c r="K61" s="18">
        <v>163</v>
      </c>
      <c r="L61" s="44">
        <v>1</v>
      </c>
      <c r="M61" s="2"/>
      <c r="N61" s="2"/>
      <c r="O61" s="2"/>
      <c r="P61" s="2">
        <v>0</v>
      </c>
      <c r="Q61" s="23">
        <v>1</v>
      </c>
      <c r="S61" s="16" t="s">
        <v>271</v>
      </c>
      <c r="T61" s="26" t="s">
        <v>233</v>
      </c>
      <c r="U61" s="26" t="s">
        <v>254</v>
      </c>
      <c r="V61" s="26" t="s">
        <v>256</v>
      </c>
      <c r="W61" s="26"/>
      <c r="X61" s="26" t="s">
        <v>563</v>
      </c>
      <c r="Y61" s="26"/>
      <c r="Z61" s="26" t="s">
        <v>563</v>
      </c>
      <c r="AA61" s="18">
        <v>4.5999999999999996</v>
      </c>
      <c r="AB61" s="2"/>
      <c r="AC61">
        <f t="shared" si="6"/>
        <v>4.5999999999999996</v>
      </c>
      <c r="AD61" t="str">
        <f t="shared" si="1"/>
        <v>Corbetti:-</v>
      </c>
      <c r="AE61" t="s">
        <v>40</v>
      </c>
    </row>
    <row r="62" spans="1:42" x14ac:dyDescent="0.2">
      <c r="A62">
        <v>221290</v>
      </c>
      <c r="B62" t="s">
        <v>341</v>
      </c>
      <c r="C62" s="32"/>
      <c r="D62" s="8" t="s">
        <v>442</v>
      </c>
      <c r="E62" s="8">
        <v>2000</v>
      </c>
      <c r="F62">
        <v>3</v>
      </c>
      <c r="I62">
        <v>9</v>
      </c>
      <c r="K62">
        <v>64</v>
      </c>
      <c r="L62" s="32">
        <v>1</v>
      </c>
      <c r="M62" s="12">
        <v>8</v>
      </c>
      <c r="N62" s="12">
        <v>8</v>
      </c>
      <c r="O62">
        <v>14</v>
      </c>
      <c r="Q62" s="34">
        <v>1</v>
      </c>
      <c r="T62" s="26" t="s">
        <v>233</v>
      </c>
      <c r="U62" s="26" t="s">
        <v>254</v>
      </c>
      <c r="V62" s="26" t="s">
        <v>256</v>
      </c>
      <c r="W62" s="27" t="s">
        <v>554</v>
      </c>
      <c r="X62" s="27" t="s">
        <v>294</v>
      </c>
      <c r="Y62" t="s">
        <v>287</v>
      </c>
      <c r="Z62" t="s">
        <v>299</v>
      </c>
      <c r="AA62" s="15">
        <f>-1*C62</f>
        <v>0</v>
      </c>
      <c r="AB62" s="42"/>
      <c r="AC62">
        <f t="shared" si="6"/>
        <v>0</v>
      </c>
      <c r="AD62" t="str">
        <f t="shared" si="1"/>
        <v>Corbetti Caldera:1997-2000</v>
      </c>
      <c r="AE62" t="s">
        <v>202</v>
      </c>
      <c r="AF62" t="s">
        <v>222</v>
      </c>
    </row>
    <row r="63" spans="1:42" x14ac:dyDescent="0.2">
      <c r="A63">
        <v>221290</v>
      </c>
      <c r="B63" t="s">
        <v>341</v>
      </c>
      <c r="C63" s="32"/>
      <c r="D63" s="8" t="s">
        <v>496</v>
      </c>
      <c r="E63" s="8">
        <v>2009</v>
      </c>
      <c r="F63">
        <v>8.2191780821917804E-2</v>
      </c>
      <c r="I63">
        <v>9</v>
      </c>
      <c r="K63">
        <v>64</v>
      </c>
      <c r="L63" s="32">
        <v>1</v>
      </c>
      <c r="M63" s="12">
        <v>8</v>
      </c>
      <c r="N63" s="12">
        <v>8</v>
      </c>
      <c r="O63">
        <v>4.2</v>
      </c>
      <c r="Q63" s="34">
        <v>1</v>
      </c>
      <c r="T63" s="26" t="s">
        <v>233</v>
      </c>
      <c r="U63" s="26" t="s">
        <v>254</v>
      </c>
      <c r="V63" s="26" t="s">
        <v>256</v>
      </c>
      <c r="W63" s="27" t="s">
        <v>554</v>
      </c>
      <c r="X63" s="27" t="s">
        <v>293</v>
      </c>
      <c r="Y63" t="s">
        <v>286</v>
      </c>
      <c r="Z63" t="s">
        <v>299</v>
      </c>
      <c r="AA63" s="32"/>
      <c r="AB63">
        <v>4.2</v>
      </c>
      <c r="AC63">
        <f t="shared" si="6"/>
        <v>0</v>
      </c>
      <c r="AD63" t="str">
        <f t="shared" si="1"/>
        <v>Corbetti Caldera:2009-2009</v>
      </c>
      <c r="AE63" t="s">
        <v>202</v>
      </c>
      <c r="AF63" t="s">
        <v>222</v>
      </c>
    </row>
    <row r="64" spans="1:42" s="43" customFormat="1" x14ac:dyDescent="0.2">
      <c r="A64">
        <v>355101</v>
      </c>
      <c r="B64" s="8" t="s">
        <v>103</v>
      </c>
      <c r="C64" s="15">
        <v>0.4</v>
      </c>
      <c r="D64" s="8" t="s">
        <v>136</v>
      </c>
      <c r="E64" s="8" t="s">
        <v>134</v>
      </c>
      <c r="F64" s="19">
        <v>11</v>
      </c>
      <c r="G64"/>
      <c r="H64">
        <v>13</v>
      </c>
      <c r="I64">
        <v>17</v>
      </c>
      <c r="J64" s="10"/>
      <c r="K64" s="15">
        <v>227</v>
      </c>
      <c r="L64" s="32">
        <v>1</v>
      </c>
      <c r="M64">
        <v>9</v>
      </c>
      <c r="N64">
        <v>9</v>
      </c>
      <c r="O64" s="42">
        <f>C64*F64</f>
        <v>4.4000000000000004</v>
      </c>
      <c r="P64"/>
      <c r="Q64" s="22">
        <v>1</v>
      </c>
      <c r="R64"/>
      <c r="S64" s="16" t="s">
        <v>279</v>
      </c>
      <c r="T64" s="26" t="s">
        <v>236</v>
      </c>
      <c r="U64" s="26" t="s">
        <v>252</v>
      </c>
      <c r="V64" s="26" t="s">
        <v>250</v>
      </c>
      <c r="W64" s="26"/>
      <c r="X64" s="27" t="s">
        <v>294</v>
      </c>
      <c r="Y64" t="s">
        <v>290</v>
      </c>
      <c r="Z64" s="26" t="s">
        <v>563</v>
      </c>
      <c r="AA64" s="15">
        <f>-1*C64</f>
        <v>-0.4</v>
      </c>
      <c r="AB64" s="42"/>
      <c r="AC64">
        <f t="shared" si="6"/>
        <v>0.4</v>
      </c>
      <c r="AD64" t="str">
        <f t="shared" si="1"/>
        <v>Cordón de Puntas Negras:1992-2003</v>
      </c>
      <c r="AE64" t="s">
        <v>202</v>
      </c>
      <c r="AF64" t="s">
        <v>222</v>
      </c>
      <c r="AG64"/>
      <c r="AH64"/>
      <c r="AI64"/>
      <c r="AJ64"/>
      <c r="AK64"/>
      <c r="AL64"/>
      <c r="AM64"/>
      <c r="AN64"/>
      <c r="AO64"/>
      <c r="AP64"/>
    </row>
    <row r="65" spans="1:42" x14ac:dyDescent="0.2">
      <c r="A65">
        <v>355101</v>
      </c>
      <c r="B65" s="8" t="s">
        <v>103</v>
      </c>
      <c r="C65" s="15">
        <v>0.5</v>
      </c>
      <c r="D65" s="8" t="s">
        <v>134</v>
      </c>
      <c r="E65" s="8" t="s">
        <v>182</v>
      </c>
      <c r="F65" s="19">
        <v>7</v>
      </c>
      <c r="H65">
        <v>13</v>
      </c>
      <c r="I65">
        <v>20</v>
      </c>
      <c r="J65" s="10"/>
      <c r="K65" s="15">
        <v>314</v>
      </c>
      <c r="L65" s="32">
        <v>1</v>
      </c>
      <c r="M65">
        <v>13</v>
      </c>
      <c r="N65">
        <v>13</v>
      </c>
      <c r="O65" s="42">
        <f>C65*F65</f>
        <v>3.5</v>
      </c>
      <c r="Q65" s="22">
        <v>1</v>
      </c>
      <c r="S65" s="16" t="s">
        <v>279</v>
      </c>
      <c r="T65" s="26" t="s">
        <v>236</v>
      </c>
      <c r="U65" s="26" t="s">
        <v>252</v>
      </c>
      <c r="V65" s="26" t="s">
        <v>250</v>
      </c>
      <c r="W65" s="26"/>
      <c r="X65" s="27" t="s">
        <v>293</v>
      </c>
      <c r="Y65" t="s">
        <v>293</v>
      </c>
      <c r="Z65" s="26" t="s">
        <v>563</v>
      </c>
      <c r="AA65" s="15">
        <v>0.5</v>
      </c>
      <c r="AB65" s="42"/>
      <c r="AC65">
        <f t="shared" si="6"/>
        <v>0.5</v>
      </c>
      <c r="AD65" t="str">
        <f t="shared" si="1"/>
        <v>Cordón de Puntas Negras:2003-2010</v>
      </c>
      <c r="AE65" t="s">
        <v>202</v>
      </c>
      <c r="AF65" t="s">
        <v>222</v>
      </c>
    </row>
    <row r="66" spans="1:42" x14ac:dyDescent="0.2">
      <c r="A66">
        <v>355121</v>
      </c>
      <c r="B66" s="8" t="s">
        <v>546</v>
      </c>
      <c r="C66" s="15">
        <v>3.5</v>
      </c>
      <c r="D66" s="8" t="s">
        <v>132</v>
      </c>
      <c r="E66" s="8" t="s">
        <v>163</v>
      </c>
      <c r="F66" s="19">
        <v>13</v>
      </c>
      <c r="H66">
        <v>9</v>
      </c>
      <c r="I66">
        <v>45</v>
      </c>
      <c r="J66" s="10">
        <v>37</v>
      </c>
      <c r="K66" s="15">
        <v>1308</v>
      </c>
      <c r="L66">
        <f>45/37</f>
        <v>1.2162162162162162</v>
      </c>
      <c r="M66">
        <v>6</v>
      </c>
      <c r="N66">
        <v>15</v>
      </c>
      <c r="O66" s="42">
        <f>C66*F66</f>
        <v>45.5</v>
      </c>
      <c r="Q66" s="22">
        <v>1</v>
      </c>
      <c r="S66" s="16" t="s">
        <v>279</v>
      </c>
      <c r="T66" s="26" t="s">
        <v>235</v>
      </c>
      <c r="U66" s="26" t="s">
        <v>252</v>
      </c>
      <c r="V66" s="26" t="s">
        <v>250</v>
      </c>
      <c r="W66" s="26"/>
      <c r="X66" s="27" t="s">
        <v>293</v>
      </c>
      <c r="Y66" t="s">
        <v>293</v>
      </c>
      <c r="Z66" t="s">
        <v>299</v>
      </c>
      <c r="AA66" s="15">
        <v>3.5</v>
      </c>
      <c r="AB66" s="42"/>
      <c r="AC66">
        <f t="shared" si="6"/>
        <v>3.5</v>
      </c>
      <c r="AD66" t="str">
        <f t="shared" ref="AD66:AD129" si="7">_xlfn.CONCAT(B66,$AK$3,D66,$AK$2,E66)</f>
        <v>Cordón del Azufre (Lazufre):1998-2011</v>
      </c>
      <c r="AE66" t="s">
        <v>202</v>
      </c>
      <c r="AF66" t="s">
        <v>222</v>
      </c>
    </row>
    <row r="67" spans="1:42" s="43" customFormat="1" x14ac:dyDescent="0.2">
      <c r="A67">
        <v>323180</v>
      </c>
      <c r="B67" s="8" t="s">
        <v>82</v>
      </c>
      <c r="C67" s="15">
        <v>4</v>
      </c>
      <c r="D67" s="8" t="s">
        <v>136</v>
      </c>
      <c r="E67" s="8" t="s">
        <v>131</v>
      </c>
      <c r="F67" s="19">
        <v>5</v>
      </c>
      <c r="G67"/>
      <c r="H67"/>
      <c r="I67">
        <v>15</v>
      </c>
      <c r="J67" s="10">
        <v>10</v>
      </c>
      <c r="K67" s="15">
        <v>118</v>
      </c>
      <c r="L67">
        <f>I67/J67</f>
        <v>1.5</v>
      </c>
      <c r="M67">
        <v>4</v>
      </c>
      <c r="N67">
        <v>4</v>
      </c>
      <c r="O67" s="42">
        <f>C67*F67</f>
        <v>20</v>
      </c>
      <c r="P67"/>
      <c r="Q67" s="22">
        <v>1</v>
      </c>
      <c r="R67"/>
      <c r="S67" s="16" t="s">
        <v>277</v>
      </c>
      <c r="T67" s="26" t="s">
        <v>243</v>
      </c>
      <c r="U67" s="26" t="s">
        <v>254</v>
      </c>
      <c r="V67" s="26" t="s">
        <v>255</v>
      </c>
      <c r="W67" s="26"/>
      <c r="X67" s="27" t="s">
        <v>294</v>
      </c>
      <c r="Y67" t="s">
        <v>290</v>
      </c>
      <c r="Z67" t="s">
        <v>310</v>
      </c>
      <c r="AA67" s="15">
        <f>-1*C67</f>
        <v>-4</v>
      </c>
      <c r="AB67" s="42"/>
      <c r="AC67">
        <f t="shared" si="6"/>
        <v>4</v>
      </c>
      <c r="AD67" t="str">
        <f t="shared" si="7"/>
        <v>Coso Volcanic Field:1992-1997</v>
      </c>
      <c r="AE67" t="s">
        <v>202</v>
      </c>
      <c r="AF67" t="s">
        <v>222</v>
      </c>
      <c r="AG67"/>
      <c r="AH67"/>
      <c r="AI67"/>
      <c r="AJ67"/>
      <c r="AK67"/>
      <c r="AL67"/>
      <c r="AM67"/>
      <c r="AN67"/>
      <c r="AO67"/>
      <c r="AP67"/>
    </row>
    <row r="68" spans="1:42" x14ac:dyDescent="0.2">
      <c r="A68">
        <v>221113</v>
      </c>
      <c r="B68" t="s">
        <v>204</v>
      </c>
      <c r="C68" s="32"/>
      <c r="D68" s="8" t="s">
        <v>497</v>
      </c>
      <c r="E68" s="8" t="s">
        <v>498</v>
      </c>
      <c r="F68">
        <v>1.0547945205479452</v>
      </c>
      <c r="I68">
        <v>10</v>
      </c>
      <c r="K68">
        <v>79</v>
      </c>
      <c r="L68" s="32">
        <v>1</v>
      </c>
      <c r="M68">
        <v>5</v>
      </c>
      <c r="N68">
        <v>5</v>
      </c>
      <c r="O68">
        <v>12</v>
      </c>
      <c r="Q68" s="34">
        <v>1</v>
      </c>
      <c r="T68" s="16" t="s">
        <v>234</v>
      </c>
      <c r="U68" s="16" t="s">
        <v>266</v>
      </c>
      <c r="V68" s="16" t="s">
        <v>251</v>
      </c>
      <c r="W68" s="27" t="s">
        <v>554</v>
      </c>
      <c r="X68" s="27" t="s">
        <v>293</v>
      </c>
      <c r="Y68" t="s">
        <v>286</v>
      </c>
      <c r="AA68" s="32"/>
      <c r="AB68">
        <v>12</v>
      </c>
      <c r="AC68">
        <f t="shared" si="6"/>
        <v>0</v>
      </c>
      <c r="AD68" t="str">
        <f t="shared" si="7"/>
        <v>Dabbahu:16 Apr 2004-6 May 2005</v>
      </c>
      <c r="AE68" t="s">
        <v>202</v>
      </c>
      <c r="AF68" t="s">
        <v>222</v>
      </c>
    </row>
    <row r="69" spans="1:42" x14ac:dyDescent="0.2">
      <c r="A69">
        <v>221113</v>
      </c>
      <c r="B69" t="s">
        <v>204</v>
      </c>
      <c r="C69" s="32"/>
      <c r="D69" s="8" t="s">
        <v>380</v>
      </c>
      <c r="E69" s="8" t="s">
        <v>380</v>
      </c>
      <c r="F69">
        <v>1.9178082191780823E-2</v>
      </c>
      <c r="I69">
        <v>10</v>
      </c>
      <c r="K69">
        <v>79</v>
      </c>
      <c r="L69" s="32">
        <v>1</v>
      </c>
      <c r="M69">
        <v>5</v>
      </c>
      <c r="N69">
        <v>5</v>
      </c>
      <c r="O69">
        <v>400</v>
      </c>
      <c r="Q69" s="34">
        <v>2</v>
      </c>
      <c r="T69" s="16" t="s">
        <v>234</v>
      </c>
      <c r="U69" s="16" t="s">
        <v>266</v>
      </c>
      <c r="V69" s="16" t="s">
        <v>251</v>
      </c>
      <c r="W69" s="27" t="s">
        <v>554</v>
      </c>
      <c r="X69" s="27" t="s">
        <v>561</v>
      </c>
      <c r="Y69" t="s">
        <v>288</v>
      </c>
      <c r="Z69" t="s">
        <v>297</v>
      </c>
      <c r="AA69" s="15">
        <f>-1*C69</f>
        <v>0</v>
      </c>
      <c r="AB69" s="42"/>
      <c r="AC69">
        <f t="shared" si="6"/>
        <v>0</v>
      </c>
      <c r="AD69" t="str">
        <f t="shared" si="7"/>
        <v>Dabbahu:Sep 2005-Sep 2005</v>
      </c>
      <c r="AE69" t="s">
        <v>202</v>
      </c>
      <c r="AF69" t="s">
        <v>222</v>
      </c>
    </row>
    <row r="70" spans="1:42" x14ac:dyDescent="0.2">
      <c r="A70">
        <v>221113</v>
      </c>
      <c r="B70" s="29" t="s">
        <v>8</v>
      </c>
      <c r="C70" s="18">
        <v>3.9</v>
      </c>
      <c r="D70" s="2"/>
      <c r="E70" s="2"/>
      <c r="F70" s="2" t="s">
        <v>6</v>
      </c>
      <c r="G70" s="2" t="s">
        <v>7</v>
      </c>
      <c r="H70" s="2">
        <v>0</v>
      </c>
      <c r="K70" s="18">
        <v>2600</v>
      </c>
      <c r="L70" s="3"/>
      <c r="M70" s="3"/>
      <c r="N70" s="3"/>
      <c r="O70" s="3"/>
      <c r="P70" s="3">
        <v>0</v>
      </c>
      <c r="Q70" s="23">
        <v>1</v>
      </c>
      <c r="R70" t="s">
        <v>126</v>
      </c>
      <c r="S70" s="16" t="s">
        <v>271</v>
      </c>
      <c r="T70" s="26" t="s">
        <v>234</v>
      </c>
      <c r="U70" s="26" t="s">
        <v>266</v>
      </c>
      <c r="V70" s="26" t="s">
        <v>251</v>
      </c>
      <c r="W70" s="26"/>
      <c r="X70" s="26" t="s">
        <v>563</v>
      </c>
      <c r="Y70" s="26"/>
      <c r="Z70" s="26" t="s">
        <v>563</v>
      </c>
      <c r="AA70" s="18">
        <v>3.9</v>
      </c>
      <c r="AB70" s="3"/>
      <c r="AC70">
        <f t="shared" si="6"/>
        <v>3.9</v>
      </c>
      <c r="AD70" t="str">
        <f t="shared" si="7"/>
        <v>Dabbahu-Hararo:-</v>
      </c>
      <c r="AE70" t="s">
        <v>40</v>
      </c>
    </row>
    <row r="71" spans="1:42" x14ac:dyDescent="0.2">
      <c r="A71">
        <v>221070</v>
      </c>
      <c r="B71" t="s">
        <v>324</v>
      </c>
      <c r="C71" s="32"/>
      <c r="D71" s="8" t="s">
        <v>367</v>
      </c>
      <c r="E71" s="8" t="s">
        <v>368</v>
      </c>
      <c r="F71">
        <v>1.7835616438356163</v>
      </c>
      <c r="I71">
        <v>3</v>
      </c>
      <c r="J71">
        <v>2</v>
      </c>
      <c r="K71">
        <v>5</v>
      </c>
      <c r="L71">
        <f>3.2/1.1</f>
        <v>2.9090909090909092</v>
      </c>
      <c r="M71">
        <v>1</v>
      </c>
      <c r="N71">
        <v>1</v>
      </c>
      <c r="O71">
        <v>90</v>
      </c>
      <c r="Q71" s="34">
        <v>2</v>
      </c>
      <c r="T71" s="16" t="s">
        <v>240</v>
      </c>
      <c r="U71" s="16" t="s">
        <v>266</v>
      </c>
      <c r="V71" s="16" t="s">
        <v>251</v>
      </c>
      <c r="W71" s="27" t="s">
        <v>554</v>
      </c>
      <c r="X71" s="27" t="s">
        <v>293</v>
      </c>
      <c r="Y71" t="s">
        <v>286</v>
      </c>
      <c r="AA71" s="32"/>
      <c r="AB71">
        <v>90</v>
      </c>
      <c r="AC71">
        <f t="shared" si="6"/>
        <v>0</v>
      </c>
      <c r="AD71" t="str">
        <f t="shared" si="7"/>
        <v>Dalaffilla:19 Nov 2008-1 Sept 2010</v>
      </c>
      <c r="AE71" t="s">
        <v>202</v>
      </c>
      <c r="AF71" t="s">
        <v>222</v>
      </c>
    </row>
    <row r="72" spans="1:42" x14ac:dyDescent="0.2">
      <c r="A72">
        <v>221070</v>
      </c>
      <c r="B72" t="s">
        <v>324</v>
      </c>
      <c r="C72" s="32"/>
      <c r="D72" s="8" t="s">
        <v>364</v>
      </c>
      <c r="E72" s="8" t="s">
        <v>365</v>
      </c>
      <c r="F72">
        <v>0.16986301369863013</v>
      </c>
      <c r="O72">
        <v>9</v>
      </c>
      <c r="Q72" s="34">
        <v>2</v>
      </c>
      <c r="T72" s="16" t="s">
        <v>240</v>
      </c>
      <c r="U72" s="16" t="s">
        <v>266</v>
      </c>
      <c r="V72" s="16" t="s">
        <v>251</v>
      </c>
      <c r="W72" s="27" t="s">
        <v>554</v>
      </c>
      <c r="X72" s="27" t="s">
        <v>293</v>
      </c>
      <c r="Y72" t="s">
        <v>286</v>
      </c>
      <c r="AA72" s="32"/>
      <c r="AB72">
        <v>9</v>
      </c>
      <c r="AC72">
        <f t="shared" si="6"/>
        <v>0</v>
      </c>
      <c r="AD72" t="str">
        <f t="shared" si="7"/>
        <v>Dalaffilla:Jul 2008-Sep 2008</v>
      </c>
      <c r="AE72" t="s">
        <v>202</v>
      </c>
      <c r="AF72" t="s">
        <v>222</v>
      </c>
    </row>
    <row r="73" spans="1:42" x14ac:dyDescent="0.2">
      <c r="A73">
        <v>221041</v>
      </c>
      <c r="B73" s="29" t="s">
        <v>9</v>
      </c>
      <c r="C73" s="18">
        <v>-3.3</v>
      </c>
      <c r="D73" s="2"/>
      <c r="E73" s="2"/>
      <c r="F73" s="2" t="s">
        <v>6</v>
      </c>
      <c r="G73" s="2" t="s">
        <v>7</v>
      </c>
      <c r="H73" s="2">
        <v>0</v>
      </c>
      <c r="K73" s="18">
        <v>2.5</v>
      </c>
      <c r="L73" s="44">
        <v>1</v>
      </c>
      <c r="M73" s="2"/>
      <c r="N73" s="2"/>
      <c r="O73" s="2"/>
      <c r="P73" s="2">
        <v>0</v>
      </c>
      <c r="Q73" s="22">
        <v>1</v>
      </c>
      <c r="R73" s="2" t="s">
        <v>124</v>
      </c>
      <c r="S73" s="16" t="s">
        <v>271</v>
      </c>
      <c r="T73" s="26" t="s">
        <v>239</v>
      </c>
      <c r="U73" s="26" t="s">
        <v>266</v>
      </c>
      <c r="V73" s="26" t="s">
        <v>267</v>
      </c>
      <c r="W73" s="26"/>
      <c r="X73" s="26" t="s">
        <v>294</v>
      </c>
      <c r="Y73" s="26"/>
      <c r="Z73" s="26" t="s">
        <v>563</v>
      </c>
      <c r="AA73" s="18">
        <v>-3.3</v>
      </c>
      <c r="AB73" s="2"/>
      <c r="AC73">
        <f t="shared" si="6"/>
        <v>3.3</v>
      </c>
      <c r="AD73" t="str">
        <f t="shared" si="7"/>
        <v>Dallol:-</v>
      </c>
      <c r="AE73" t="s">
        <v>40</v>
      </c>
    </row>
    <row r="74" spans="1:42" x14ac:dyDescent="0.2">
      <c r="A74">
        <v>221041</v>
      </c>
      <c r="B74" t="s">
        <v>9</v>
      </c>
      <c r="C74" s="32"/>
      <c r="D74" s="8" t="s">
        <v>478</v>
      </c>
      <c r="E74" s="8" t="s">
        <v>499</v>
      </c>
      <c r="F74">
        <v>0.19178082191780821</v>
      </c>
      <c r="I74">
        <v>9</v>
      </c>
      <c r="K74">
        <v>64</v>
      </c>
      <c r="L74" s="32">
        <v>1</v>
      </c>
      <c r="M74">
        <v>1.5</v>
      </c>
      <c r="N74">
        <v>3.3</v>
      </c>
      <c r="O74">
        <v>30</v>
      </c>
      <c r="Q74" s="34">
        <v>1</v>
      </c>
      <c r="T74" s="26" t="s">
        <v>239</v>
      </c>
      <c r="U74" s="26" t="s">
        <v>266</v>
      </c>
      <c r="V74" s="26" t="s">
        <v>267</v>
      </c>
      <c r="W74" s="27" t="s">
        <v>554</v>
      </c>
      <c r="X74" s="27" t="s">
        <v>561</v>
      </c>
      <c r="Y74" t="s">
        <v>288</v>
      </c>
      <c r="Z74" t="s">
        <v>299</v>
      </c>
      <c r="AA74" s="15">
        <f>-1*C74</f>
        <v>0</v>
      </c>
      <c r="AB74" s="42"/>
      <c r="AC74">
        <f t="shared" si="6"/>
        <v>0</v>
      </c>
      <c r="AD74" t="str">
        <f t="shared" si="7"/>
        <v>Dallol:22 Sep 2004-1 Dec 2004</v>
      </c>
      <c r="AE74" t="s">
        <v>202</v>
      </c>
      <c r="AF74" t="s">
        <v>222</v>
      </c>
      <c r="AG74" s="16"/>
      <c r="AH74" s="16"/>
      <c r="AI74" s="16"/>
      <c r="AJ74" s="16"/>
      <c r="AK74" s="16"/>
    </row>
    <row r="75" spans="1:42" x14ac:dyDescent="0.2">
      <c r="A75">
        <v>232010</v>
      </c>
      <c r="B75" s="8" t="s">
        <v>83</v>
      </c>
      <c r="C75" s="15">
        <v>1.2</v>
      </c>
      <c r="D75" s="8" t="s">
        <v>134</v>
      </c>
      <c r="E75" s="8" t="s">
        <v>151</v>
      </c>
      <c r="F75" s="19">
        <v>5</v>
      </c>
      <c r="J75" s="10"/>
      <c r="O75" s="45">
        <f>C75*F75</f>
        <v>6</v>
      </c>
      <c r="Q75" s="22">
        <v>1</v>
      </c>
      <c r="S75" s="16" t="s">
        <v>272</v>
      </c>
      <c r="T75" s="26" t="s">
        <v>234</v>
      </c>
      <c r="U75" s="27" t="s">
        <v>263</v>
      </c>
      <c r="V75" s="27" t="s">
        <v>265</v>
      </c>
      <c r="W75" s="27"/>
      <c r="X75" s="27" t="s">
        <v>561</v>
      </c>
      <c r="Y75" t="s">
        <v>291</v>
      </c>
      <c r="Z75" t="s">
        <v>301</v>
      </c>
      <c r="AA75" s="15">
        <f>-1*C75</f>
        <v>-1.2</v>
      </c>
      <c r="AB75" s="42"/>
      <c r="AC75">
        <f t="shared" si="6"/>
        <v>1.2</v>
      </c>
      <c r="AD75" t="str">
        <f t="shared" si="7"/>
        <v>Damavand:2003-2008</v>
      </c>
      <c r="AE75" t="s">
        <v>202</v>
      </c>
      <c r="AF75" t="s">
        <v>222</v>
      </c>
    </row>
    <row r="76" spans="1:42" x14ac:dyDescent="0.2">
      <c r="A76">
        <v>353030</v>
      </c>
      <c r="B76" t="s">
        <v>220</v>
      </c>
      <c r="C76" s="32"/>
      <c r="D76" s="8" t="s">
        <v>136</v>
      </c>
      <c r="E76" s="8" t="s">
        <v>132</v>
      </c>
      <c r="F76">
        <v>6</v>
      </c>
      <c r="I76">
        <v>11</v>
      </c>
      <c r="K76">
        <v>95</v>
      </c>
      <c r="L76" s="32">
        <v>1</v>
      </c>
      <c r="M76">
        <v>2</v>
      </c>
      <c r="N76">
        <v>3</v>
      </c>
      <c r="O76">
        <v>20</v>
      </c>
      <c r="Q76" s="34">
        <v>1</v>
      </c>
      <c r="T76" s="16" t="s">
        <v>238</v>
      </c>
      <c r="U76" s="16" t="s">
        <v>258</v>
      </c>
      <c r="V76" s="16" t="s">
        <v>251</v>
      </c>
      <c r="W76" s="27" t="s">
        <v>554</v>
      </c>
      <c r="X76" s="27" t="s">
        <v>293</v>
      </c>
      <c r="Y76" t="s">
        <v>293</v>
      </c>
      <c r="Z76" t="s">
        <v>299</v>
      </c>
      <c r="AA76" s="32"/>
      <c r="AB76">
        <v>20</v>
      </c>
      <c r="AC76">
        <f t="shared" si="6"/>
        <v>0</v>
      </c>
      <c r="AD76" t="str">
        <f t="shared" si="7"/>
        <v>Darwin:1992-1998</v>
      </c>
      <c r="AE76" t="s">
        <v>202</v>
      </c>
      <c r="AF76" t="s">
        <v>222</v>
      </c>
    </row>
    <row r="77" spans="1:42" x14ac:dyDescent="0.2">
      <c r="A77">
        <v>312270</v>
      </c>
      <c r="B77" t="s">
        <v>342</v>
      </c>
      <c r="C77" s="32"/>
      <c r="D77" s="8" t="s">
        <v>164</v>
      </c>
      <c r="E77" s="8" t="s">
        <v>182</v>
      </c>
      <c r="F77">
        <v>5</v>
      </c>
      <c r="L77" s="32">
        <v>1</v>
      </c>
      <c r="O77">
        <v>6</v>
      </c>
      <c r="Q77" s="34">
        <v>1</v>
      </c>
      <c r="T77" s="26" t="s">
        <v>234</v>
      </c>
      <c r="U77" s="27" t="s">
        <v>252</v>
      </c>
      <c r="V77" s="27" t="s">
        <v>250</v>
      </c>
      <c r="W77" s="27" t="s">
        <v>554</v>
      </c>
      <c r="X77" s="27" t="s">
        <v>293</v>
      </c>
      <c r="Y77" t="s">
        <v>293</v>
      </c>
      <c r="AA77" s="32"/>
      <c r="AB77">
        <v>6</v>
      </c>
      <c r="AC77">
        <f t="shared" si="6"/>
        <v>0</v>
      </c>
      <c r="AD77" t="str">
        <f t="shared" si="7"/>
        <v>Douglas:2005-2010</v>
      </c>
      <c r="AE77" t="s">
        <v>202</v>
      </c>
      <c r="AF77" t="s">
        <v>222</v>
      </c>
    </row>
    <row r="78" spans="1:42" s="43" customFormat="1" x14ac:dyDescent="0.2">
      <c r="A78">
        <v>312020</v>
      </c>
      <c r="B78" s="8" t="s">
        <v>84</v>
      </c>
      <c r="C78" s="15">
        <v>0.8</v>
      </c>
      <c r="D78" s="8" t="s">
        <v>129</v>
      </c>
      <c r="E78" s="8" t="s">
        <v>179</v>
      </c>
      <c r="F78" s="19">
        <v>16</v>
      </c>
      <c r="G78"/>
      <c r="H78"/>
      <c r="I78">
        <v>8</v>
      </c>
      <c r="J78" s="10"/>
      <c r="K78" s="15">
        <v>50</v>
      </c>
      <c r="L78" s="32">
        <v>1</v>
      </c>
      <c r="M78">
        <v>7</v>
      </c>
      <c r="N78">
        <v>7</v>
      </c>
      <c r="O78" s="42">
        <f>C78*F78</f>
        <v>12.8</v>
      </c>
      <c r="P78"/>
      <c r="Q78" s="22">
        <v>1</v>
      </c>
      <c r="R78"/>
      <c r="S78" s="16" t="s">
        <v>248</v>
      </c>
      <c r="T78" s="26" t="s">
        <v>233</v>
      </c>
      <c r="U78" s="26" t="s">
        <v>252</v>
      </c>
      <c r="V78" s="26" t="s">
        <v>250</v>
      </c>
      <c r="W78" s="26"/>
      <c r="X78" s="27" t="s">
        <v>294</v>
      </c>
      <c r="Y78" t="s">
        <v>290</v>
      </c>
      <c r="Z78" t="s">
        <v>304</v>
      </c>
      <c r="AA78" s="15">
        <f>-1*C78</f>
        <v>-0.8</v>
      </c>
      <c r="AB78" s="42"/>
      <c r="AC78">
        <f t="shared" si="6"/>
        <v>0.8</v>
      </c>
      <c r="AD78" t="str">
        <f t="shared" si="7"/>
        <v>Emmons Lake:1993-2009</v>
      </c>
      <c r="AE78" t="s">
        <v>202</v>
      </c>
      <c r="AF78" t="s">
        <v>222</v>
      </c>
      <c r="AG78"/>
      <c r="AH78"/>
      <c r="AI78"/>
      <c r="AJ78"/>
      <c r="AK78"/>
      <c r="AL78"/>
      <c r="AM78"/>
      <c r="AN78"/>
      <c r="AO78"/>
      <c r="AP78"/>
    </row>
    <row r="79" spans="1:42" s="43" customFormat="1" x14ac:dyDescent="0.2">
      <c r="A79">
        <v>221080</v>
      </c>
      <c r="B79" s="30" t="s">
        <v>10</v>
      </c>
      <c r="C79" s="18">
        <v>-3.9</v>
      </c>
      <c r="D79" s="2"/>
      <c r="E79" s="2"/>
      <c r="F79" s="2" t="s">
        <v>6</v>
      </c>
      <c r="G79" s="2" t="s">
        <v>7</v>
      </c>
      <c r="H79" s="2">
        <v>0</v>
      </c>
      <c r="I79"/>
      <c r="J79"/>
      <c r="K79" s="18">
        <v>216</v>
      </c>
      <c r="L79" s="2"/>
      <c r="M79" s="2"/>
      <c r="N79" s="2"/>
      <c r="O79" s="2"/>
      <c r="P79" s="2">
        <v>0</v>
      </c>
      <c r="Q79" s="23">
        <v>1</v>
      </c>
      <c r="R79" t="s">
        <v>125</v>
      </c>
      <c r="S79" s="16" t="s">
        <v>271</v>
      </c>
      <c r="T79" s="26" t="s">
        <v>238</v>
      </c>
      <c r="U79" s="26" t="s">
        <v>266</v>
      </c>
      <c r="V79" s="26" t="s">
        <v>251</v>
      </c>
      <c r="W79" s="26"/>
      <c r="X79" s="26" t="s">
        <v>294</v>
      </c>
      <c r="Y79" s="26"/>
      <c r="Z79" s="2" t="s">
        <v>17</v>
      </c>
      <c r="AA79" s="18">
        <v>-3.9</v>
      </c>
      <c r="AB79" s="2"/>
      <c r="AC79">
        <f t="shared" si="6"/>
        <v>3.9</v>
      </c>
      <c r="AD79" t="str">
        <f t="shared" si="7"/>
        <v>Erta Ale:-</v>
      </c>
      <c r="AE79" t="s">
        <v>40</v>
      </c>
      <c r="AF79"/>
      <c r="AG79"/>
      <c r="AH79"/>
      <c r="AI79"/>
      <c r="AJ79"/>
      <c r="AK79"/>
      <c r="AL79"/>
      <c r="AM79"/>
      <c r="AN79"/>
      <c r="AO79"/>
      <c r="AP79"/>
    </row>
    <row r="80" spans="1:42" x14ac:dyDescent="0.2">
      <c r="A80">
        <v>221080</v>
      </c>
      <c r="B80" s="30" t="s">
        <v>10</v>
      </c>
      <c r="C80" s="18">
        <v>3.7</v>
      </c>
      <c r="D80" s="2"/>
      <c r="E80" s="2"/>
      <c r="F80" s="2" t="s">
        <v>11</v>
      </c>
      <c r="G80" s="2" t="s">
        <v>7</v>
      </c>
      <c r="H80" s="2">
        <v>0</v>
      </c>
      <c r="K80" s="18">
        <v>32</v>
      </c>
      <c r="L80" s="2"/>
      <c r="M80" s="2"/>
      <c r="N80" s="2"/>
      <c r="O80" s="2"/>
      <c r="P80" s="2">
        <v>0</v>
      </c>
      <c r="Q80" s="23">
        <v>2</v>
      </c>
      <c r="R80" t="s">
        <v>125</v>
      </c>
      <c r="S80" s="16" t="s">
        <v>271</v>
      </c>
      <c r="T80" s="26" t="s">
        <v>238</v>
      </c>
      <c r="U80" s="26" t="s">
        <v>266</v>
      </c>
      <c r="V80" s="26" t="s">
        <v>251</v>
      </c>
      <c r="W80" s="26"/>
      <c r="X80" s="26" t="s">
        <v>293</v>
      </c>
      <c r="Y80" s="26"/>
      <c r="Z80" t="s">
        <v>12</v>
      </c>
      <c r="AA80" s="18">
        <v>3.7</v>
      </c>
      <c r="AB80" s="2"/>
      <c r="AC80">
        <f t="shared" si="6"/>
        <v>3.7</v>
      </c>
      <c r="AD80" t="str">
        <f t="shared" si="7"/>
        <v>Erta Ale:-</v>
      </c>
      <c r="AE80" t="s">
        <v>40</v>
      </c>
    </row>
    <row r="81" spans="1:42" x14ac:dyDescent="0.2">
      <c r="A81">
        <v>221080</v>
      </c>
      <c r="B81" s="30" t="s">
        <v>10</v>
      </c>
      <c r="C81" s="2" t="s">
        <v>13</v>
      </c>
      <c r="D81" s="2"/>
      <c r="E81" s="2"/>
      <c r="F81" s="2" t="s">
        <v>14</v>
      </c>
      <c r="G81" s="2" t="s">
        <v>15</v>
      </c>
      <c r="H81" s="2">
        <v>0</v>
      </c>
      <c r="K81" s="18">
        <v>37</v>
      </c>
      <c r="L81" s="2"/>
      <c r="M81" s="2"/>
      <c r="N81" s="2"/>
      <c r="O81" s="2"/>
      <c r="P81" s="2">
        <v>0</v>
      </c>
      <c r="Q81" s="23">
        <v>2</v>
      </c>
      <c r="R81" t="s">
        <v>125</v>
      </c>
      <c r="S81" s="16" t="s">
        <v>271</v>
      </c>
      <c r="T81" s="26" t="s">
        <v>238</v>
      </c>
      <c r="U81" s="26" t="s">
        <v>266</v>
      </c>
      <c r="V81" s="26" t="s">
        <v>251</v>
      </c>
      <c r="W81" s="26"/>
      <c r="X81" s="26" t="s">
        <v>293</v>
      </c>
      <c r="Y81" s="26"/>
      <c r="Z81" s="2" t="s">
        <v>16</v>
      </c>
      <c r="AA81" s="2" t="s">
        <v>13</v>
      </c>
      <c r="AB81" s="2"/>
      <c r="AD81" t="str">
        <f t="shared" si="7"/>
        <v>Erta Ale:-</v>
      </c>
      <c r="AE81" t="s">
        <v>40</v>
      </c>
    </row>
    <row r="82" spans="1:42" x14ac:dyDescent="0.2">
      <c r="A82">
        <v>221080</v>
      </c>
      <c r="B82" s="30" t="s">
        <v>10</v>
      </c>
      <c r="C82" s="2" t="s">
        <v>18</v>
      </c>
      <c r="D82" s="2"/>
      <c r="E82" s="2"/>
      <c r="F82" s="2" t="s">
        <v>6</v>
      </c>
      <c r="G82" s="2" t="s">
        <v>7</v>
      </c>
      <c r="H82" s="2">
        <v>0</v>
      </c>
      <c r="K82" s="18">
        <v>30</v>
      </c>
      <c r="L82" s="2"/>
      <c r="M82" s="2"/>
      <c r="N82" s="2"/>
      <c r="O82" s="2"/>
      <c r="P82" s="2">
        <v>0</v>
      </c>
      <c r="Q82" s="23">
        <v>1</v>
      </c>
      <c r="R82" t="s">
        <v>125</v>
      </c>
      <c r="S82" s="16" t="s">
        <v>271</v>
      </c>
      <c r="T82" s="26" t="s">
        <v>238</v>
      </c>
      <c r="U82" s="26" t="s">
        <v>266</v>
      </c>
      <c r="V82" s="26" t="s">
        <v>251</v>
      </c>
      <c r="W82" s="26"/>
      <c r="X82" s="26" t="s">
        <v>294</v>
      </c>
      <c r="Y82" s="26"/>
      <c r="Z82" s="2" t="s">
        <v>19</v>
      </c>
      <c r="AA82" s="15"/>
      <c r="AB82" s="2"/>
      <c r="AD82" t="str">
        <f t="shared" si="7"/>
        <v>Erta Ale:-</v>
      </c>
      <c r="AE82" t="s">
        <v>40</v>
      </c>
    </row>
    <row r="83" spans="1:42" x14ac:dyDescent="0.2">
      <c r="A83">
        <v>211060</v>
      </c>
      <c r="B83" s="8" t="s">
        <v>49</v>
      </c>
      <c r="C83" s="15">
        <v>1</v>
      </c>
      <c r="D83" s="8" t="s">
        <v>143</v>
      </c>
      <c r="E83" s="8">
        <v>2000</v>
      </c>
      <c r="F83" s="19">
        <v>7</v>
      </c>
      <c r="I83">
        <v>18</v>
      </c>
      <c r="J83" s="10"/>
      <c r="K83" s="15">
        <v>254</v>
      </c>
      <c r="L83" s="32">
        <v>1</v>
      </c>
      <c r="M83">
        <v>4.5</v>
      </c>
      <c r="N83">
        <v>4.5</v>
      </c>
      <c r="O83" s="42">
        <f>C83*F83</f>
        <v>7</v>
      </c>
      <c r="Q83" s="22">
        <v>2</v>
      </c>
      <c r="S83" s="16" t="s">
        <v>270</v>
      </c>
      <c r="T83" s="26" t="s">
        <v>236</v>
      </c>
      <c r="U83" s="26" t="s">
        <v>252</v>
      </c>
      <c r="V83" s="26" t="s">
        <v>259</v>
      </c>
      <c r="W83" s="26"/>
      <c r="X83" s="27" t="s">
        <v>293</v>
      </c>
      <c r="Y83" t="s">
        <v>286</v>
      </c>
      <c r="Z83" t="s">
        <v>297</v>
      </c>
      <c r="AA83" s="15">
        <v>1</v>
      </c>
      <c r="AB83" s="42"/>
      <c r="AC83">
        <f t="shared" ref="AC83:AC107" si="8">ABS(C83)</f>
        <v>1</v>
      </c>
      <c r="AD83" t="str">
        <f t="shared" si="7"/>
        <v>Etna:1993-2000</v>
      </c>
      <c r="AE83" t="s">
        <v>202</v>
      </c>
      <c r="AF83" t="s">
        <v>222</v>
      </c>
    </row>
    <row r="84" spans="1:42" x14ac:dyDescent="0.2">
      <c r="A84">
        <v>211060</v>
      </c>
      <c r="B84" t="s">
        <v>49</v>
      </c>
      <c r="C84" s="32"/>
      <c r="D84" s="8" t="s">
        <v>381</v>
      </c>
      <c r="E84" s="8">
        <v>2005</v>
      </c>
      <c r="F84">
        <v>4</v>
      </c>
      <c r="I84">
        <v>8</v>
      </c>
      <c r="K84">
        <v>50</v>
      </c>
      <c r="L84" s="32">
        <v>1</v>
      </c>
      <c r="M84">
        <v>4.5</v>
      </c>
      <c r="N84">
        <v>4.5</v>
      </c>
      <c r="O84">
        <v>13</v>
      </c>
      <c r="Q84" s="34">
        <v>2</v>
      </c>
      <c r="T84" s="26" t="s">
        <v>236</v>
      </c>
      <c r="U84" s="26" t="s">
        <v>252</v>
      </c>
      <c r="V84" s="26" t="s">
        <v>259</v>
      </c>
      <c r="W84" s="27" t="s">
        <v>554</v>
      </c>
      <c r="X84" s="27" t="s">
        <v>294</v>
      </c>
      <c r="Y84" t="s">
        <v>287</v>
      </c>
      <c r="Z84" t="s">
        <v>297</v>
      </c>
      <c r="AA84" s="15">
        <f>-1*C84</f>
        <v>0</v>
      </c>
      <c r="AB84" s="42"/>
      <c r="AC84">
        <f t="shared" si="8"/>
        <v>0</v>
      </c>
      <c r="AD84" t="str">
        <f t="shared" si="7"/>
        <v>Etna:2001-2005</v>
      </c>
      <c r="AE84" t="s">
        <v>202</v>
      </c>
      <c r="AF84" t="s">
        <v>222</v>
      </c>
    </row>
    <row r="85" spans="1:42" x14ac:dyDescent="0.2">
      <c r="A85">
        <v>372020</v>
      </c>
      <c r="B85" t="s">
        <v>325</v>
      </c>
      <c r="C85" s="32"/>
      <c r="D85" s="8" t="s">
        <v>382</v>
      </c>
      <c r="E85" s="8" t="s">
        <v>383</v>
      </c>
      <c r="F85">
        <v>1.8410958904109589</v>
      </c>
      <c r="I85">
        <v>22</v>
      </c>
      <c r="K85">
        <v>380</v>
      </c>
      <c r="L85" s="32">
        <f>9.3/7.5</f>
        <v>1.24</v>
      </c>
      <c r="M85">
        <v>4.5</v>
      </c>
      <c r="N85">
        <v>6</v>
      </c>
      <c r="O85">
        <v>15</v>
      </c>
      <c r="Q85" s="34">
        <v>2</v>
      </c>
      <c r="T85" s="16" t="s">
        <v>234</v>
      </c>
      <c r="U85" s="16" t="s">
        <v>258</v>
      </c>
      <c r="V85" s="16" t="s">
        <v>251</v>
      </c>
      <c r="W85" s="27" t="s">
        <v>554</v>
      </c>
      <c r="X85" s="27" t="s">
        <v>293</v>
      </c>
      <c r="Y85" t="s">
        <v>286</v>
      </c>
      <c r="Z85" t="s">
        <v>299</v>
      </c>
      <c r="AA85" s="32"/>
      <c r="AB85">
        <v>15</v>
      </c>
      <c r="AC85">
        <f t="shared" si="8"/>
        <v>0</v>
      </c>
      <c r="AD85" t="str">
        <f t="shared" si="7"/>
        <v>Eyjafjallajokull:3 Aug 1993-6 Jun 1995</v>
      </c>
      <c r="AE85" t="s">
        <v>202</v>
      </c>
      <c r="AF85" t="s">
        <v>222</v>
      </c>
    </row>
    <row r="86" spans="1:42" x14ac:dyDescent="0.2">
      <c r="A86">
        <v>372020</v>
      </c>
      <c r="B86" t="s">
        <v>325</v>
      </c>
      <c r="C86" s="32"/>
      <c r="D86" s="8" t="s">
        <v>384</v>
      </c>
      <c r="E86" s="8" t="s">
        <v>385</v>
      </c>
      <c r="F86">
        <v>0.78630136986301369</v>
      </c>
      <c r="I86">
        <v>20</v>
      </c>
      <c r="K86">
        <v>314</v>
      </c>
      <c r="L86" s="32">
        <v>1</v>
      </c>
      <c r="M86">
        <v>6.3</v>
      </c>
      <c r="N86">
        <v>6.3</v>
      </c>
      <c r="O86">
        <v>35</v>
      </c>
      <c r="Q86" s="34">
        <v>2</v>
      </c>
      <c r="T86" s="16" t="s">
        <v>234</v>
      </c>
      <c r="U86" s="16" t="s">
        <v>258</v>
      </c>
      <c r="V86" s="16" t="s">
        <v>251</v>
      </c>
      <c r="W86" s="27" t="s">
        <v>554</v>
      </c>
      <c r="X86" s="27" t="s">
        <v>293</v>
      </c>
      <c r="Y86" t="s">
        <v>286</v>
      </c>
      <c r="Z86" t="s">
        <v>299</v>
      </c>
      <c r="AA86" s="32"/>
      <c r="AB86">
        <v>35</v>
      </c>
      <c r="AC86">
        <f t="shared" si="8"/>
        <v>0</v>
      </c>
      <c r="AD86" t="str">
        <f t="shared" si="7"/>
        <v>Eyjafjallajokull:19 Jul 1999-May 2000</v>
      </c>
      <c r="AE86" t="s">
        <v>202</v>
      </c>
      <c r="AF86" t="s">
        <v>222</v>
      </c>
    </row>
    <row r="87" spans="1:42" x14ac:dyDescent="0.2">
      <c r="A87">
        <v>221190</v>
      </c>
      <c r="B87" s="29" t="s">
        <v>26</v>
      </c>
      <c r="C87" s="18">
        <v>53</v>
      </c>
      <c r="D87" s="2"/>
      <c r="E87" s="2"/>
      <c r="F87" s="2" t="s">
        <v>27</v>
      </c>
      <c r="G87" s="2" t="s">
        <v>15</v>
      </c>
      <c r="H87" s="2">
        <v>6.3</v>
      </c>
      <c r="K87" s="18">
        <v>70</v>
      </c>
      <c r="L87" s="2"/>
      <c r="M87" s="2"/>
      <c r="N87" s="2"/>
      <c r="O87" s="2"/>
      <c r="P87" s="2">
        <v>6.3</v>
      </c>
      <c r="Q87" s="23">
        <v>1</v>
      </c>
      <c r="S87" s="16" t="s">
        <v>271</v>
      </c>
      <c r="T87" s="26" t="s">
        <v>234</v>
      </c>
      <c r="U87" s="26" t="s">
        <v>254</v>
      </c>
      <c r="V87" s="26" t="s">
        <v>256</v>
      </c>
      <c r="W87" s="26"/>
      <c r="X87" s="26" t="s">
        <v>563</v>
      </c>
      <c r="Y87" s="26"/>
      <c r="Z87" s="26" t="s">
        <v>563</v>
      </c>
      <c r="AA87" s="18">
        <v>53</v>
      </c>
      <c r="AB87" s="2"/>
      <c r="AC87">
        <f t="shared" si="8"/>
        <v>53</v>
      </c>
      <c r="AD87" t="str">
        <f t="shared" si="7"/>
        <v>Fentale:-</v>
      </c>
      <c r="AE87" t="s">
        <v>40</v>
      </c>
    </row>
    <row r="88" spans="1:42" s="43" customFormat="1" x14ac:dyDescent="0.2">
      <c r="A88">
        <v>353010</v>
      </c>
      <c r="B88" t="s">
        <v>218</v>
      </c>
      <c r="C88" s="32"/>
      <c r="D88" s="8" t="s">
        <v>134</v>
      </c>
      <c r="E88" s="8" t="s">
        <v>390</v>
      </c>
      <c r="F88">
        <v>2</v>
      </c>
      <c r="G88"/>
      <c r="H88"/>
      <c r="I88" s="10">
        <v>6</v>
      </c>
      <c r="J88" s="10"/>
      <c r="K88" s="38">
        <f>PI()*(I88/2)^2</f>
        <v>28.274333882308138</v>
      </c>
      <c r="L88" s="32">
        <v>1</v>
      </c>
      <c r="M88">
        <v>1</v>
      </c>
      <c r="N88">
        <v>6</v>
      </c>
      <c r="O88">
        <v>17</v>
      </c>
      <c r="P88"/>
      <c r="Q88" s="34">
        <v>2</v>
      </c>
      <c r="R88"/>
      <c r="S88"/>
      <c r="T88" s="16" t="s">
        <v>238</v>
      </c>
      <c r="U88" s="16" t="s">
        <v>258</v>
      </c>
      <c r="V88" s="16" t="s">
        <v>251</v>
      </c>
      <c r="W88" s="27" t="s">
        <v>554</v>
      </c>
      <c r="X88" s="27" t="s">
        <v>293</v>
      </c>
      <c r="Y88" t="s">
        <v>293</v>
      </c>
      <c r="Z88" t="s">
        <v>299</v>
      </c>
      <c r="AA88" s="32"/>
      <c r="AB88">
        <v>17</v>
      </c>
      <c r="AC88">
        <f t="shared" si="8"/>
        <v>0</v>
      </c>
      <c r="AD88" t="str">
        <f t="shared" si="7"/>
        <v>Fernandina:2003-2005</v>
      </c>
      <c r="AE88" t="s">
        <v>202</v>
      </c>
      <c r="AF88" t="s">
        <v>222</v>
      </c>
      <c r="AG88"/>
      <c r="AH88"/>
      <c r="AI88"/>
      <c r="AJ88"/>
      <c r="AK88"/>
      <c r="AL88"/>
      <c r="AM88"/>
      <c r="AN88"/>
      <c r="AO88"/>
      <c r="AP88"/>
    </row>
    <row r="89" spans="1:42" s="43" customFormat="1" x14ac:dyDescent="0.2">
      <c r="A89">
        <v>353010</v>
      </c>
      <c r="B89" t="s">
        <v>218</v>
      </c>
      <c r="C89" s="32"/>
      <c r="D89" s="8" t="s">
        <v>386</v>
      </c>
      <c r="E89" s="8" t="s">
        <v>387</v>
      </c>
      <c r="F89">
        <v>5.0520547945205481</v>
      </c>
      <c r="G89"/>
      <c r="H89">
        <v>6</v>
      </c>
      <c r="I89" s="10">
        <v>5</v>
      </c>
      <c r="J89" s="10"/>
      <c r="K89" s="38">
        <f>PI()*(I89/2)^2</f>
        <v>19.634954084936208</v>
      </c>
      <c r="L89" s="32">
        <v>1</v>
      </c>
      <c r="M89">
        <v>1</v>
      </c>
      <c r="N89">
        <v>1</v>
      </c>
      <c r="O89">
        <v>85</v>
      </c>
      <c r="P89"/>
      <c r="Q89" s="34">
        <v>2</v>
      </c>
      <c r="R89"/>
      <c r="S89"/>
      <c r="T89" s="16" t="s">
        <v>238</v>
      </c>
      <c r="U89" s="16" t="s">
        <v>258</v>
      </c>
      <c r="V89" s="16" t="s">
        <v>251</v>
      </c>
      <c r="W89" s="27" t="s">
        <v>554</v>
      </c>
      <c r="X89" s="27" t="s">
        <v>293</v>
      </c>
      <c r="Y89" t="s">
        <v>293</v>
      </c>
      <c r="Z89" t="s">
        <v>297</v>
      </c>
      <c r="AA89" s="32"/>
      <c r="AB89">
        <v>85</v>
      </c>
      <c r="AC89">
        <f t="shared" si="8"/>
        <v>0</v>
      </c>
      <c r="AD89" t="str">
        <f t="shared" si="7"/>
        <v>Fernandina:12 Sep 1992-30 Sep 1997</v>
      </c>
      <c r="AE89" t="s">
        <v>202</v>
      </c>
      <c r="AF89" t="s">
        <v>222</v>
      </c>
      <c r="AG89"/>
      <c r="AH89"/>
      <c r="AI89"/>
      <c r="AJ89"/>
      <c r="AK89"/>
      <c r="AL89"/>
      <c r="AM89"/>
      <c r="AN89"/>
      <c r="AO89"/>
      <c r="AP89"/>
    </row>
    <row r="90" spans="1:42" s="43" customFormat="1" x14ac:dyDescent="0.2">
      <c r="A90">
        <v>353010</v>
      </c>
      <c r="B90" t="s">
        <v>218</v>
      </c>
      <c r="C90" s="32"/>
      <c r="D90" s="8" t="s">
        <v>388</v>
      </c>
      <c r="E90" s="8" t="s">
        <v>389</v>
      </c>
      <c r="F90">
        <v>0.47945205479452052</v>
      </c>
      <c r="G90"/>
      <c r="H90"/>
      <c r="I90" s="10"/>
      <c r="J90" s="10"/>
      <c r="K90" s="38"/>
      <c r="L90"/>
      <c r="M90"/>
      <c r="N90"/>
      <c r="O90">
        <v>10</v>
      </c>
      <c r="P90"/>
      <c r="Q90" s="34">
        <v>2</v>
      </c>
      <c r="R90"/>
      <c r="S90"/>
      <c r="T90" s="16" t="s">
        <v>238</v>
      </c>
      <c r="U90" s="16" t="s">
        <v>258</v>
      </c>
      <c r="V90" s="16" t="s">
        <v>251</v>
      </c>
      <c r="W90" s="27" t="s">
        <v>554</v>
      </c>
      <c r="X90" s="27" t="s">
        <v>293</v>
      </c>
      <c r="Y90" t="s">
        <v>293</v>
      </c>
      <c r="Z90" t="s">
        <v>299</v>
      </c>
      <c r="AA90" s="32"/>
      <c r="AB90">
        <v>10</v>
      </c>
      <c r="AC90">
        <f t="shared" si="8"/>
        <v>0</v>
      </c>
      <c r="AD90" t="str">
        <f t="shared" si="7"/>
        <v>Fernandina:26 Sep 1998-20 Mar 1999</v>
      </c>
      <c r="AE90" t="s">
        <v>202</v>
      </c>
      <c r="AF90" t="s">
        <v>222</v>
      </c>
      <c r="AG90"/>
      <c r="AH90"/>
      <c r="AI90"/>
      <c r="AJ90"/>
      <c r="AK90"/>
      <c r="AL90"/>
      <c r="AM90"/>
      <c r="AN90"/>
      <c r="AO90"/>
      <c r="AP90"/>
    </row>
    <row r="91" spans="1:42" s="43" customFormat="1" x14ac:dyDescent="0.2">
      <c r="A91">
        <v>353010</v>
      </c>
      <c r="B91" t="s">
        <v>218</v>
      </c>
      <c r="C91" s="32"/>
      <c r="D91" s="8" t="s">
        <v>390</v>
      </c>
      <c r="E91" s="8" t="s">
        <v>139</v>
      </c>
      <c r="F91">
        <v>1</v>
      </c>
      <c r="G91"/>
      <c r="H91"/>
      <c r="I91" s="10">
        <v>11</v>
      </c>
      <c r="J91"/>
      <c r="K91">
        <v>95</v>
      </c>
      <c r="L91" s="32">
        <v>1</v>
      </c>
      <c r="M91">
        <v>1</v>
      </c>
      <c r="N91">
        <v>4</v>
      </c>
      <c r="O91">
        <v>25</v>
      </c>
      <c r="P91"/>
      <c r="Q91" s="34">
        <v>2</v>
      </c>
      <c r="R91"/>
      <c r="S91"/>
      <c r="T91" s="16" t="s">
        <v>238</v>
      </c>
      <c r="U91" s="16" t="s">
        <v>258</v>
      </c>
      <c r="V91" s="16" t="s">
        <v>251</v>
      </c>
      <c r="W91" s="27" t="s">
        <v>554</v>
      </c>
      <c r="X91" s="27" t="s">
        <v>293</v>
      </c>
      <c r="Y91" t="s">
        <v>293</v>
      </c>
      <c r="Z91" t="s">
        <v>299</v>
      </c>
      <c r="AA91" s="32"/>
      <c r="AB91">
        <v>25</v>
      </c>
      <c r="AC91">
        <f t="shared" si="8"/>
        <v>0</v>
      </c>
      <c r="AD91" t="str">
        <f t="shared" si="7"/>
        <v>Fernandina:2005-2006</v>
      </c>
      <c r="AE91" t="s">
        <v>202</v>
      </c>
      <c r="AF91" t="s">
        <v>222</v>
      </c>
      <c r="AG91"/>
      <c r="AH91"/>
      <c r="AI91"/>
      <c r="AJ91"/>
      <c r="AK91"/>
      <c r="AL91"/>
      <c r="AM91"/>
      <c r="AN91"/>
      <c r="AO91"/>
      <c r="AP91"/>
    </row>
    <row r="92" spans="1:42" x14ac:dyDescent="0.2">
      <c r="A92">
        <v>311350</v>
      </c>
      <c r="B92" s="8" t="s">
        <v>85</v>
      </c>
      <c r="C92" s="15">
        <v>1.5</v>
      </c>
      <c r="D92" s="8" t="s">
        <v>136</v>
      </c>
      <c r="E92" s="8" t="s">
        <v>182</v>
      </c>
      <c r="F92" s="19">
        <v>18</v>
      </c>
      <c r="I92">
        <v>12</v>
      </c>
      <c r="J92" s="10"/>
      <c r="K92" s="15">
        <v>113</v>
      </c>
      <c r="L92" s="32">
        <v>1</v>
      </c>
      <c r="M92">
        <v>4.5</v>
      </c>
      <c r="N92">
        <v>8.5</v>
      </c>
      <c r="O92" s="42">
        <f>C92*F92</f>
        <v>27</v>
      </c>
      <c r="Q92" s="22">
        <v>1</v>
      </c>
      <c r="S92" s="16" t="s">
        <v>248</v>
      </c>
      <c r="T92" s="26" t="s">
        <v>234</v>
      </c>
      <c r="U92" s="26" t="s">
        <v>252</v>
      </c>
      <c r="V92" s="26" t="s">
        <v>250</v>
      </c>
      <c r="W92" s="26"/>
      <c r="X92" s="27" t="s">
        <v>294</v>
      </c>
      <c r="Y92" t="s">
        <v>290</v>
      </c>
      <c r="Z92" s="26" t="s">
        <v>563</v>
      </c>
      <c r="AA92" s="15">
        <f>-1*C92</f>
        <v>-1.5</v>
      </c>
      <c r="AB92" s="42"/>
      <c r="AC92">
        <f t="shared" si="8"/>
        <v>1.5</v>
      </c>
      <c r="AD92" t="str">
        <f t="shared" si="7"/>
        <v>Fisher:1992-2010</v>
      </c>
      <c r="AE92" t="s">
        <v>202</v>
      </c>
      <c r="AF92" t="s">
        <v>222</v>
      </c>
    </row>
    <row r="93" spans="1:42" s="43" customFormat="1" x14ac:dyDescent="0.2">
      <c r="A93">
        <v>384010</v>
      </c>
      <c r="B93" t="s">
        <v>326</v>
      </c>
      <c r="C93" s="32"/>
      <c r="D93" s="8" t="s">
        <v>391</v>
      </c>
      <c r="E93" s="8" t="s">
        <v>392</v>
      </c>
      <c r="F93">
        <v>2.3643835616438356</v>
      </c>
      <c r="G93"/>
      <c r="H93"/>
      <c r="I93" s="10">
        <v>6</v>
      </c>
      <c r="J93"/>
      <c r="K93">
        <v>28</v>
      </c>
      <c r="L93" s="32">
        <f>3.2/2</f>
        <v>1.6</v>
      </c>
      <c r="M93"/>
      <c r="N93"/>
      <c r="O93">
        <v>10</v>
      </c>
      <c r="P93"/>
      <c r="Q93" s="34">
        <v>2</v>
      </c>
      <c r="R93"/>
      <c r="S93"/>
      <c r="T93" s="16" t="s">
        <v>234</v>
      </c>
      <c r="U93" s="16" t="s">
        <v>262</v>
      </c>
      <c r="V93" s="16" t="s">
        <v>572</v>
      </c>
      <c r="W93" s="27" t="s">
        <v>554</v>
      </c>
      <c r="X93" s="27" t="s">
        <v>294</v>
      </c>
      <c r="Y93" t="s">
        <v>290</v>
      </c>
      <c r="Z93" t="s">
        <v>297</v>
      </c>
      <c r="AA93" s="15">
        <f>-1*C93</f>
        <v>0</v>
      </c>
      <c r="AB93" s="42"/>
      <c r="AC93">
        <f t="shared" si="8"/>
        <v>0</v>
      </c>
      <c r="AD93" t="str">
        <f t="shared" si="7"/>
        <v>Fogo:23 Jun 1993-3 Nov 1995</v>
      </c>
      <c r="AE93" t="s">
        <v>202</v>
      </c>
      <c r="AF93" t="s">
        <v>222</v>
      </c>
      <c r="AG93"/>
      <c r="AH93"/>
      <c r="AI93"/>
      <c r="AJ93"/>
      <c r="AK93"/>
      <c r="AL93"/>
      <c r="AM93"/>
      <c r="AN93"/>
      <c r="AO93"/>
      <c r="AP93"/>
    </row>
    <row r="94" spans="1:42" x14ac:dyDescent="0.2">
      <c r="A94" s="6">
        <v>384010</v>
      </c>
      <c r="B94" s="6" t="s">
        <v>326</v>
      </c>
      <c r="C94" s="32"/>
      <c r="D94" s="8" t="s">
        <v>393</v>
      </c>
      <c r="E94" s="8" t="s">
        <v>394</v>
      </c>
      <c r="F94">
        <v>6.575342465753424E-2</v>
      </c>
      <c r="I94" s="10">
        <v>7</v>
      </c>
      <c r="K94">
        <v>38</v>
      </c>
      <c r="L94" s="32">
        <v>1</v>
      </c>
      <c r="O94">
        <v>25</v>
      </c>
      <c r="Q94" s="34">
        <v>2</v>
      </c>
      <c r="T94" s="16" t="s">
        <v>234</v>
      </c>
      <c r="U94" s="16" t="s">
        <v>262</v>
      </c>
      <c r="V94" s="16" t="s">
        <v>572</v>
      </c>
      <c r="W94" s="27" t="s">
        <v>554</v>
      </c>
      <c r="X94" s="27"/>
      <c r="Z94" t="s">
        <v>356</v>
      </c>
      <c r="AA94" s="32"/>
      <c r="AB94">
        <v>25</v>
      </c>
      <c r="AC94">
        <f t="shared" si="8"/>
        <v>0</v>
      </c>
      <c r="AD94" t="str">
        <f t="shared" si="7"/>
        <v>Fogo:8 Nov 2014-2 December 2014</v>
      </c>
      <c r="AE94" t="s">
        <v>202</v>
      </c>
      <c r="AF94" t="s">
        <v>222</v>
      </c>
    </row>
    <row r="95" spans="1:42" x14ac:dyDescent="0.2">
      <c r="A95">
        <v>233020</v>
      </c>
      <c r="B95" s="8" t="s">
        <v>50</v>
      </c>
      <c r="C95" s="15">
        <v>13</v>
      </c>
      <c r="D95" s="8" t="s">
        <v>144</v>
      </c>
      <c r="E95" s="8" t="s">
        <v>185</v>
      </c>
      <c r="F95" s="19">
        <v>6</v>
      </c>
      <c r="I95">
        <v>4</v>
      </c>
      <c r="J95" s="10"/>
      <c r="K95" s="15">
        <v>13</v>
      </c>
      <c r="L95" s="32">
        <v>1</v>
      </c>
      <c r="O95" s="45">
        <f>C95*F95</f>
        <v>78</v>
      </c>
      <c r="Q95" s="22">
        <v>2</v>
      </c>
      <c r="S95" s="16" t="s">
        <v>272</v>
      </c>
      <c r="T95" s="26" t="s">
        <v>238</v>
      </c>
      <c r="U95" s="26" t="s">
        <v>257</v>
      </c>
      <c r="V95" s="26" t="s">
        <v>251</v>
      </c>
      <c r="W95" s="26"/>
      <c r="X95" s="27" t="s">
        <v>294</v>
      </c>
      <c r="Y95" t="s">
        <v>287</v>
      </c>
      <c r="Z95" t="s">
        <v>300</v>
      </c>
      <c r="AA95" s="15">
        <f>-1*C95</f>
        <v>-13</v>
      </c>
      <c r="AB95" s="42"/>
      <c r="AC95">
        <f t="shared" si="8"/>
        <v>13</v>
      </c>
      <c r="AD95" t="str">
        <f t="shared" si="7"/>
        <v>Fournaise, Piton de la:2003-2009</v>
      </c>
      <c r="AE95" t="s">
        <v>202</v>
      </c>
      <c r="AF95" t="s">
        <v>222</v>
      </c>
    </row>
    <row r="96" spans="1:42" x14ac:dyDescent="0.2">
      <c r="A96">
        <v>233020</v>
      </c>
      <c r="B96" t="s">
        <v>50</v>
      </c>
      <c r="C96" s="32"/>
      <c r="D96" s="8" t="s">
        <v>395</v>
      </c>
      <c r="E96" s="8" t="s">
        <v>396</v>
      </c>
      <c r="F96">
        <v>8.4931506849315067E-2</v>
      </c>
      <c r="I96" s="10">
        <v>4</v>
      </c>
      <c r="K96">
        <v>13</v>
      </c>
      <c r="L96" s="32">
        <v>1</v>
      </c>
      <c r="O96">
        <v>40</v>
      </c>
      <c r="Q96" s="34">
        <v>2</v>
      </c>
      <c r="T96" s="26" t="s">
        <v>238</v>
      </c>
      <c r="U96" s="26" t="s">
        <v>257</v>
      </c>
      <c r="V96" s="26" t="s">
        <v>251</v>
      </c>
      <c r="W96" s="27" t="s">
        <v>554</v>
      </c>
      <c r="X96" s="27" t="s">
        <v>561</v>
      </c>
      <c r="Y96" t="s">
        <v>288</v>
      </c>
      <c r="Z96" t="s">
        <v>297</v>
      </c>
      <c r="AA96" s="15">
        <f>-1*C96</f>
        <v>0</v>
      </c>
      <c r="AB96" s="42"/>
      <c r="AC96">
        <f t="shared" si="8"/>
        <v>0</v>
      </c>
      <c r="AD96" t="str">
        <f t="shared" si="7"/>
        <v>Fournaise, Piton de la:Aug 2003-Sep 2003</v>
      </c>
      <c r="AE96" t="s">
        <v>202</v>
      </c>
      <c r="AF96" t="s">
        <v>222</v>
      </c>
    </row>
    <row r="97" spans="1:42" s="43" customFormat="1" x14ac:dyDescent="0.2">
      <c r="A97">
        <v>312260</v>
      </c>
      <c r="B97" t="s">
        <v>343</v>
      </c>
      <c r="C97" s="32"/>
      <c r="D97" s="8" t="s">
        <v>164</v>
      </c>
      <c r="E97" s="8" t="s">
        <v>182</v>
      </c>
      <c r="F97">
        <v>5</v>
      </c>
      <c r="G97"/>
      <c r="H97">
        <v>7</v>
      </c>
      <c r="I97">
        <v>15</v>
      </c>
      <c r="J97"/>
      <c r="K97">
        <v>177</v>
      </c>
      <c r="L97" s="32">
        <v>1</v>
      </c>
      <c r="M97">
        <v>7</v>
      </c>
      <c r="N97">
        <v>7</v>
      </c>
      <c r="O97">
        <v>6</v>
      </c>
      <c r="P97"/>
      <c r="Q97" s="34">
        <v>1</v>
      </c>
      <c r="R97"/>
      <c r="S97"/>
      <c r="T97" s="26" t="s">
        <v>234</v>
      </c>
      <c r="U97" s="26" t="s">
        <v>252</v>
      </c>
      <c r="V97" s="26" t="s">
        <v>250</v>
      </c>
      <c r="W97" s="27" t="s">
        <v>554</v>
      </c>
      <c r="X97" s="27" t="s">
        <v>293</v>
      </c>
      <c r="Y97" t="s">
        <v>293</v>
      </c>
      <c r="Z97"/>
      <c r="AA97" s="32"/>
      <c r="AB97">
        <v>6</v>
      </c>
      <c r="AC97">
        <f t="shared" si="8"/>
        <v>0</v>
      </c>
      <c r="AD97" t="str">
        <f t="shared" si="7"/>
        <v>Fourpeaked:2005-2010</v>
      </c>
      <c r="AE97" t="s">
        <v>202</v>
      </c>
      <c r="AF97" t="s">
        <v>222</v>
      </c>
      <c r="AG97"/>
      <c r="AH97"/>
      <c r="AI97"/>
      <c r="AJ97"/>
      <c r="AK97"/>
      <c r="AL97"/>
      <c r="AM97"/>
      <c r="AN97"/>
      <c r="AO97"/>
      <c r="AP97"/>
    </row>
    <row r="98" spans="1:42" s="43" customFormat="1" x14ac:dyDescent="0.2">
      <c r="A98">
        <v>221050</v>
      </c>
      <c r="B98" s="29" t="s">
        <v>20</v>
      </c>
      <c r="C98" s="18">
        <v>-1.9</v>
      </c>
      <c r="D98" s="2"/>
      <c r="E98" s="2"/>
      <c r="F98" s="2" t="s">
        <v>6</v>
      </c>
      <c r="G98" s="2" t="s">
        <v>7</v>
      </c>
      <c r="H98" s="2">
        <v>3.5</v>
      </c>
      <c r="I98"/>
      <c r="J98"/>
      <c r="K98" s="18">
        <v>9</v>
      </c>
      <c r="L98" s="2"/>
      <c r="M98" s="2"/>
      <c r="N98" s="2"/>
      <c r="O98" s="2"/>
      <c r="P98" s="2">
        <v>3.5</v>
      </c>
      <c r="Q98" s="23">
        <v>1</v>
      </c>
      <c r="R98" s="2" t="s">
        <v>125</v>
      </c>
      <c r="S98" s="16" t="s">
        <v>271</v>
      </c>
      <c r="T98" s="26" t="s">
        <v>234</v>
      </c>
      <c r="U98" s="26" t="s">
        <v>266</v>
      </c>
      <c r="V98" s="26" t="s">
        <v>251</v>
      </c>
      <c r="W98" s="26"/>
      <c r="X98" s="26" t="s">
        <v>294</v>
      </c>
      <c r="Y98" s="26"/>
      <c r="Z98" s="26" t="s">
        <v>563</v>
      </c>
      <c r="AA98" s="18">
        <v>-1.9</v>
      </c>
      <c r="AB98" s="2"/>
      <c r="AC98">
        <f t="shared" si="8"/>
        <v>1.9</v>
      </c>
      <c r="AD98" t="str">
        <f t="shared" si="7"/>
        <v>Gada Ale:-</v>
      </c>
      <c r="AE98" t="s">
        <v>40</v>
      </c>
      <c r="AF98"/>
      <c r="AG98"/>
      <c r="AH98"/>
      <c r="AI98"/>
      <c r="AJ98"/>
      <c r="AK98"/>
      <c r="AL98"/>
      <c r="AM98"/>
      <c r="AN98"/>
      <c r="AO98"/>
      <c r="AP98"/>
    </row>
    <row r="99" spans="1:42" x14ac:dyDescent="0.2">
      <c r="A99">
        <v>221050</v>
      </c>
      <c r="B99" t="s">
        <v>20</v>
      </c>
      <c r="C99" s="32"/>
      <c r="D99" s="8" t="s">
        <v>501</v>
      </c>
      <c r="E99" s="8" t="s">
        <v>502</v>
      </c>
      <c r="F99">
        <v>2.9178082191780823</v>
      </c>
      <c r="I99">
        <v>5</v>
      </c>
      <c r="K99">
        <v>20</v>
      </c>
      <c r="L99" s="32">
        <f>2.7/1.8</f>
        <v>1.5</v>
      </c>
      <c r="M99" s="12">
        <v>1</v>
      </c>
      <c r="N99" s="12">
        <v>1</v>
      </c>
      <c r="O99">
        <v>12</v>
      </c>
      <c r="Q99" s="34">
        <v>1</v>
      </c>
      <c r="T99" s="26" t="s">
        <v>234</v>
      </c>
      <c r="U99" s="26" t="s">
        <v>266</v>
      </c>
      <c r="V99" s="26" t="s">
        <v>251</v>
      </c>
      <c r="W99" s="27" t="s">
        <v>554</v>
      </c>
      <c r="X99" s="27" t="s">
        <v>294</v>
      </c>
      <c r="Y99" t="s">
        <v>287</v>
      </c>
      <c r="Z99" t="s">
        <v>299</v>
      </c>
      <c r="AA99" s="15">
        <f>-1*C99</f>
        <v>0</v>
      </c>
      <c r="AB99" s="42"/>
      <c r="AC99">
        <f t="shared" si="8"/>
        <v>0</v>
      </c>
      <c r="AD99" t="str">
        <f t="shared" si="7"/>
        <v>Gada Ale:Jun 1993-May 1996</v>
      </c>
      <c r="AE99" t="s">
        <v>202</v>
      </c>
      <c r="AF99" t="s">
        <v>222</v>
      </c>
    </row>
    <row r="100" spans="1:42" s="43" customFormat="1" x14ac:dyDescent="0.2">
      <c r="A100">
        <v>351080</v>
      </c>
      <c r="B100" t="s">
        <v>217</v>
      </c>
      <c r="C100" s="32"/>
      <c r="D100" s="8" t="s">
        <v>397</v>
      </c>
      <c r="E100" s="8" t="s">
        <v>398</v>
      </c>
      <c r="F100">
        <v>0.12602739726027398</v>
      </c>
      <c r="G100"/>
      <c r="H100"/>
      <c r="I100" s="10">
        <v>5</v>
      </c>
      <c r="J100"/>
      <c r="K100">
        <v>20</v>
      </c>
      <c r="L100" s="32">
        <v>1</v>
      </c>
      <c r="M100">
        <v>2</v>
      </c>
      <c r="N100">
        <v>2</v>
      </c>
      <c r="O100">
        <v>2.8</v>
      </c>
      <c r="P100"/>
      <c r="Q100" s="34">
        <v>2</v>
      </c>
      <c r="R100"/>
      <c r="S100"/>
      <c r="T100" s="16" t="s">
        <v>235</v>
      </c>
      <c r="U100" s="16" t="s">
        <v>252</v>
      </c>
      <c r="V100" s="16" t="s">
        <v>250</v>
      </c>
      <c r="W100" s="27" t="s">
        <v>554</v>
      </c>
      <c r="X100" s="27" t="s">
        <v>294</v>
      </c>
      <c r="Y100" t="s">
        <v>290</v>
      </c>
      <c r="Z100" t="s">
        <v>297</v>
      </c>
      <c r="AA100" s="15">
        <f>-1*C100</f>
        <v>0</v>
      </c>
      <c r="AB100" s="42"/>
      <c r="AC100">
        <f t="shared" si="8"/>
        <v>0</v>
      </c>
      <c r="AD100" t="str">
        <f t="shared" si="7"/>
        <v>Galeras:4 Dec 2007-19 Jan 2008</v>
      </c>
      <c r="AE100" t="s">
        <v>202</v>
      </c>
      <c r="AF100" t="s">
        <v>222</v>
      </c>
      <c r="AG100"/>
      <c r="AH100"/>
      <c r="AI100"/>
      <c r="AJ100"/>
      <c r="AK100"/>
      <c r="AL100"/>
      <c r="AM100"/>
      <c r="AN100"/>
      <c r="AO100"/>
      <c r="AP100"/>
    </row>
    <row r="101" spans="1:42" s="43" customFormat="1" x14ac:dyDescent="0.2">
      <c r="A101">
        <v>311070</v>
      </c>
      <c r="B101" s="8" t="s">
        <v>51</v>
      </c>
      <c r="C101" s="15">
        <v>1.5</v>
      </c>
      <c r="D101" s="8" t="s">
        <v>145</v>
      </c>
      <c r="E101" s="8" t="s">
        <v>179</v>
      </c>
      <c r="F101" s="19">
        <v>14</v>
      </c>
      <c r="G101"/>
      <c r="H101"/>
      <c r="I101"/>
      <c r="J101" s="10"/>
      <c r="K101"/>
      <c r="L101"/>
      <c r="M101"/>
      <c r="N101"/>
      <c r="O101" s="45">
        <f>C101*F101</f>
        <v>21</v>
      </c>
      <c r="P101"/>
      <c r="Q101" s="22">
        <v>2</v>
      </c>
      <c r="R101"/>
      <c r="S101" s="16" t="s">
        <v>248</v>
      </c>
      <c r="T101" s="26" t="s">
        <v>234</v>
      </c>
      <c r="U101" s="26" t="s">
        <v>249</v>
      </c>
      <c r="V101" s="26" t="s">
        <v>251</v>
      </c>
      <c r="W101" s="26"/>
      <c r="X101" s="27" t="s">
        <v>294</v>
      </c>
      <c r="Y101" t="s">
        <v>290</v>
      </c>
      <c r="Z101" t="s">
        <v>308</v>
      </c>
      <c r="AA101" s="15">
        <f>-1*C101</f>
        <v>-1.5</v>
      </c>
      <c r="AB101" s="42"/>
      <c r="AC101">
        <f t="shared" si="8"/>
        <v>1.5</v>
      </c>
      <c r="AD101" t="str">
        <f t="shared" si="7"/>
        <v>Gareloi:1995-2009</v>
      </c>
      <c r="AE101" t="s">
        <v>202</v>
      </c>
      <c r="AF101" t="s">
        <v>222</v>
      </c>
      <c r="AG101"/>
      <c r="AH101"/>
      <c r="AI101"/>
      <c r="AJ101"/>
      <c r="AK101"/>
      <c r="AL101"/>
      <c r="AM101"/>
      <c r="AN101"/>
      <c r="AO101"/>
      <c r="AP101"/>
    </row>
    <row r="102" spans="1:42" x14ac:dyDescent="0.2">
      <c r="A102">
        <v>372070</v>
      </c>
      <c r="B102" s="8" t="s">
        <v>52</v>
      </c>
      <c r="C102" s="15">
        <v>0.5</v>
      </c>
      <c r="D102" s="8" t="s">
        <v>146</v>
      </c>
      <c r="E102" s="8" t="s">
        <v>147</v>
      </c>
      <c r="F102" s="19">
        <v>9</v>
      </c>
      <c r="I102" s="10">
        <v>40</v>
      </c>
      <c r="J102" s="10">
        <f>K102/(I102*PI())</f>
        <v>10.002888173325623</v>
      </c>
      <c r="K102" s="15">
        <v>1257</v>
      </c>
      <c r="L102" s="32">
        <v>1</v>
      </c>
      <c r="M102">
        <v>14</v>
      </c>
      <c r="N102">
        <v>20</v>
      </c>
      <c r="O102" s="42">
        <f>C102*F102</f>
        <v>4.5</v>
      </c>
      <c r="Q102" s="22">
        <v>2</v>
      </c>
      <c r="S102" s="16" t="s">
        <v>281</v>
      </c>
      <c r="T102" s="26" t="s">
        <v>234</v>
      </c>
      <c r="U102" s="26" t="s">
        <v>258</v>
      </c>
      <c r="V102" s="26" t="s">
        <v>250</v>
      </c>
      <c r="W102" s="26"/>
      <c r="X102" s="27" t="s">
        <v>293</v>
      </c>
      <c r="Y102" t="s">
        <v>286</v>
      </c>
      <c r="Z102" t="s">
        <v>299</v>
      </c>
      <c r="AA102" s="15">
        <v>0.5</v>
      </c>
      <c r="AB102" s="42"/>
      <c r="AC102">
        <f t="shared" si="8"/>
        <v>0.5</v>
      </c>
      <c r="AD102" t="str">
        <f t="shared" si="7"/>
        <v>Hekla:1991-2000</v>
      </c>
      <c r="AE102" t="s">
        <v>202</v>
      </c>
      <c r="AF102" t="s">
        <v>222</v>
      </c>
    </row>
    <row r="103" spans="1:42" x14ac:dyDescent="0.2">
      <c r="A103">
        <v>372070</v>
      </c>
      <c r="B103" s="8" t="s">
        <v>52</v>
      </c>
      <c r="C103" s="15">
        <v>0.5</v>
      </c>
      <c r="D103" s="8" t="s">
        <v>147</v>
      </c>
      <c r="E103" s="8" t="s">
        <v>151</v>
      </c>
      <c r="F103" s="19">
        <v>8</v>
      </c>
      <c r="I103" s="10">
        <v>40</v>
      </c>
      <c r="J103" s="10">
        <f>K103/(I103*PI())</f>
        <v>10.002888173325623</v>
      </c>
      <c r="K103" s="15">
        <v>1257</v>
      </c>
      <c r="L103" s="32">
        <v>1</v>
      </c>
      <c r="M103">
        <v>14</v>
      </c>
      <c r="N103">
        <v>20</v>
      </c>
      <c r="O103" s="42">
        <f>C103*F103</f>
        <v>4</v>
      </c>
      <c r="Q103" s="22">
        <v>2</v>
      </c>
      <c r="S103" s="16" t="s">
        <v>281</v>
      </c>
      <c r="T103" s="26" t="s">
        <v>234</v>
      </c>
      <c r="U103" s="26" t="s">
        <v>258</v>
      </c>
      <c r="V103" s="26" t="s">
        <v>250</v>
      </c>
      <c r="W103" s="26"/>
      <c r="X103" s="27" t="s">
        <v>293</v>
      </c>
      <c r="Y103" t="s">
        <v>286</v>
      </c>
      <c r="Z103" t="s">
        <v>299</v>
      </c>
      <c r="AA103" s="15">
        <v>0.5</v>
      </c>
      <c r="AB103" s="42"/>
      <c r="AC103">
        <f t="shared" si="8"/>
        <v>0.5</v>
      </c>
      <c r="AD103" t="str">
        <f t="shared" si="7"/>
        <v>Hekla:2000-2008</v>
      </c>
      <c r="AE103" t="s">
        <v>202</v>
      </c>
      <c r="AF103" t="s">
        <v>222</v>
      </c>
    </row>
    <row r="104" spans="1:42" x14ac:dyDescent="0.2">
      <c r="A104">
        <v>372070</v>
      </c>
      <c r="B104" s="8" t="s">
        <v>52</v>
      </c>
      <c r="C104" s="15">
        <v>162</v>
      </c>
      <c r="D104" s="8" t="s">
        <v>147</v>
      </c>
      <c r="E104" s="8" t="s">
        <v>147</v>
      </c>
      <c r="F104" s="19">
        <v>7.6712328767123292E-2</v>
      </c>
      <c r="I104" s="10"/>
      <c r="J104" s="10"/>
      <c r="O104" s="45">
        <f>C104*F104</f>
        <v>12.427397260273974</v>
      </c>
      <c r="Q104" s="22">
        <v>2</v>
      </c>
      <c r="S104" s="16" t="s">
        <v>281</v>
      </c>
      <c r="T104" s="26" t="s">
        <v>234</v>
      </c>
      <c r="U104" s="26" t="s">
        <v>258</v>
      </c>
      <c r="V104" s="26" t="s">
        <v>250</v>
      </c>
      <c r="W104" s="26"/>
      <c r="X104" s="27" t="s">
        <v>294</v>
      </c>
      <c r="Y104" t="s">
        <v>287</v>
      </c>
      <c r="Z104" t="s">
        <v>297</v>
      </c>
      <c r="AA104" s="15">
        <f>-1*C104</f>
        <v>-162</v>
      </c>
      <c r="AB104" s="42"/>
      <c r="AC104">
        <f t="shared" si="8"/>
        <v>162</v>
      </c>
      <c r="AD104" t="str">
        <f t="shared" si="7"/>
        <v>Hekla:2000-2000</v>
      </c>
      <c r="AE104" t="s">
        <v>202</v>
      </c>
      <c r="AF104" t="s">
        <v>222</v>
      </c>
    </row>
    <row r="105" spans="1:42" x14ac:dyDescent="0.2">
      <c r="A105">
        <v>371050</v>
      </c>
      <c r="B105" s="8" t="s">
        <v>86</v>
      </c>
      <c r="C105" s="15">
        <v>2</v>
      </c>
      <c r="D105" s="8" t="s">
        <v>143</v>
      </c>
      <c r="E105" s="8" t="s">
        <v>157</v>
      </c>
      <c r="F105" s="19">
        <v>5</v>
      </c>
      <c r="I105">
        <v>10</v>
      </c>
      <c r="J105" s="10">
        <f>K105/(I105*PI())</f>
        <v>2.5146481008519466</v>
      </c>
      <c r="K105" s="15">
        <v>79</v>
      </c>
      <c r="L105" s="32">
        <v>1</v>
      </c>
      <c r="O105" s="45">
        <f>C105*F105</f>
        <v>10</v>
      </c>
      <c r="Q105" s="22">
        <v>1</v>
      </c>
      <c r="S105" s="16" t="s">
        <v>281</v>
      </c>
      <c r="T105" s="26" t="s">
        <v>245</v>
      </c>
      <c r="U105" s="26" t="s">
        <v>258</v>
      </c>
      <c r="V105" s="26" t="s">
        <v>251</v>
      </c>
      <c r="W105" s="26"/>
      <c r="X105" s="27" t="s">
        <v>561</v>
      </c>
      <c r="Y105" t="s">
        <v>295</v>
      </c>
      <c r="Z105" t="s">
        <v>299</v>
      </c>
      <c r="AA105" s="15">
        <v>2</v>
      </c>
      <c r="AB105" s="45"/>
      <c r="AC105">
        <f t="shared" si="8"/>
        <v>2</v>
      </c>
      <c r="AD105" t="str">
        <f t="shared" si="7"/>
        <v>Hengill:1993-1998</v>
      </c>
      <c r="AE105" t="s">
        <v>202</v>
      </c>
      <c r="AF105" t="s">
        <v>222</v>
      </c>
    </row>
    <row r="106" spans="1:42" x14ac:dyDescent="0.2">
      <c r="A106">
        <v>221171</v>
      </c>
      <c r="B106" t="s">
        <v>540</v>
      </c>
      <c r="C106" s="32"/>
      <c r="D106" s="8" t="s">
        <v>427</v>
      </c>
      <c r="E106" s="8" t="s">
        <v>504</v>
      </c>
      <c r="F106">
        <v>2.4986301369863013</v>
      </c>
      <c r="H106">
        <v>10</v>
      </c>
      <c r="I106">
        <v>8</v>
      </c>
      <c r="J106">
        <v>6</v>
      </c>
      <c r="K106">
        <v>38</v>
      </c>
      <c r="L106" s="32">
        <f>8/6</f>
        <v>1.3333333333333333</v>
      </c>
      <c r="M106">
        <v>3</v>
      </c>
      <c r="N106">
        <v>8</v>
      </c>
      <c r="O106">
        <v>5.4</v>
      </c>
      <c r="Q106" s="34">
        <v>1</v>
      </c>
      <c r="T106" s="27" t="s">
        <v>269</v>
      </c>
      <c r="U106" s="27" t="s">
        <v>269</v>
      </c>
      <c r="V106" s="27" t="s">
        <v>269</v>
      </c>
      <c r="W106" s="27" t="s">
        <v>554</v>
      </c>
      <c r="X106" s="27" t="s">
        <v>294</v>
      </c>
      <c r="Y106" t="s">
        <v>287</v>
      </c>
      <c r="Z106" t="s">
        <v>299</v>
      </c>
      <c r="AA106" s="15">
        <f>-1*C106</f>
        <v>0</v>
      </c>
      <c r="AB106" s="42"/>
      <c r="AC106">
        <f t="shared" si="8"/>
        <v>0</v>
      </c>
      <c r="AD106" t="str">
        <f t="shared" si="7"/>
        <v>Hertali (Haledebi):Feb 2008-Aug 2010</v>
      </c>
      <c r="AE106" t="s">
        <v>202</v>
      </c>
      <c r="AF106" t="s">
        <v>222</v>
      </c>
    </row>
    <row r="107" spans="1:42" x14ac:dyDescent="0.2">
      <c r="A107">
        <v>221171</v>
      </c>
      <c r="B107" t="s">
        <v>540</v>
      </c>
      <c r="C107" s="32"/>
      <c r="D107" s="8" t="s">
        <v>503</v>
      </c>
      <c r="E107" s="8" t="s">
        <v>427</v>
      </c>
      <c r="F107">
        <v>0.58904109589041098</v>
      </c>
      <c r="H107">
        <v>10</v>
      </c>
      <c r="I107">
        <v>8</v>
      </c>
      <c r="J107">
        <v>6</v>
      </c>
      <c r="K107">
        <v>38</v>
      </c>
      <c r="L107" s="32">
        <f>8/6</f>
        <v>1.3333333333333333</v>
      </c>
      <c r="M107">
        <v>3</v>
      </c>
      <c r="N107">
        <v>8</v>
      </c>
      <c r="O107">
        <v>4.0999999999999996</v>
      </c>
      <c r="Q107" s="34">
        <v>1</v>
      </c>
      <c r="T107" s="27" t="s">
        <v>269</v>
      </c>
      <c r="U107" s="27" t="s">
        <v>269</v>
      </c>
      <c r="V107" s="27" t="s">
        <v>269</v>
      </c>
      <c r="W107" s="27" t="s">
        <v>554</v>
      </c>
      <c r="X107" s="27" t="s">
        <v>293</v>
      </c>
      <c r="Y107" t="s">
        <v>286</v>
      </c>
      <c r="Z107" t="s">
        <v>299</v>
      </c>
      <c r="AA107" s="32"/>
      <c r="AB107">
        <v>4.0999999999999996</v>
      </c>
      <c r="AC107">
        <f t="shared" si="8"/>
        <v>0</v>
      </c>
      <c r="AD107" t="str">
        <f t="shared" si="7"/>
        <v>Hertali (Haledebi):Jul 2007-Feb 2008</v>
      </c>
      <c r="AE107" t="s">
        <v>202</v>
      </c>
      <c r="AF107" t="s">
        <v>222</v>
      </c>
    </row>
    <row r="108" spans="1:42" x14ac:dyDescent="0.2">
      <c r="A108">
        <v>221171</v>
      </c>
      <c r="B108" s="29" t="s">
        <v>540</v>
      </c>
      <c r="C108" s="2" t="s">
        <v>28</v>
      </c>
      <c r="D108" s="2"/>
      <c r="E108" s="2"/>
      <c r="F108" s="20">
        <v>0.5</v>
      </c>
      <c r="G108" s="2" t="s">
        <v>29</v>
      </c>
      <c r="H108" s="2">
        <v>3.3</v>
      </c>
      <c r="K108" s="18">
        <v>64</v>
      </c>
      <c r="L108" s="2"/>
      <c r="M108" s="2"/>
      <c r="N108" s="2"/>
      <c r="O108" s="45"/>
      <c r="P108">
        <v>3.3</v>
      </c>
      <c r="Q108" s="23">
        <v>1</v>
      </c>
      <c r="S108" s="16" t="s">
        <v>271</v>
      </c>
      <c r="T108" s="27" t="s">
        <v>269</v>
      </c>
      <c r="U108" s="27" t="s">
        <v>269</v>
      </c>
      <c r="V108" s="27" t="s">
        <v>269</v>
      </c>
      <c r="W108" s="27"/>
      <c r="X108" s="26" t="s">
        <v>563</v>
      </c>
      <c r="Y108" s="27"/>
      <c r="Z108" s="26" t="s">
        <v>563</v>
      </c>
      <c r="AA108" s="2" t="s">
        <v>28</v>
      </c>
      <c r="AB108" s="45"/>
      <c r="AD108" t="str">
        <f t="shared" si="7"/>
        <v>Hertali (Haledebi):-</v>
      </c>
      <c r="AE108" t="s">
        <v>40</v>
      </c>
    </row>
    <row r="109" spans="1:42" s="43" customFormat="1" x14ac:dyDescent="0.2">
      <c r="A109">
        <v>383020</v>
      </c>
      <c r="B109" t="s">
        <v>344</v>
      </c>
      <c r="C109" s="32"/>
      <c r="D109" s="8" t="s">
        <v>505</v>
      </c>
      <c r="E109" s="8" t="s">
        <v>506</v>
      </c>
      <c r="F109">
        <v>0.26301369863013696</v>
      </c>
      <c r="G109"/>
      <c r="H109"/>
      <c r="I109">
        <v>20</v>
      </c>
      <c r="J109"/>
      <c r="K109" s="12">
        <v>300</v>
      </c>
      <c r="L109" s="32">
        <v>1</v>
      </c>
      <c r="M109">
        <v>4.5</v>
      </c>
      <c r="N109">
        <v>9.5</v>
      </c>
      <c r="O109">
        <v>9</v>
      </c>
      <c r="P109"/>
      <c r="Q109" s="34">
        <v>1</v>
      </c>
      <c r="R109"/>
      <c r="S109"/>
      <c r="T109" s="27" t="s">
        <v>238</v>
      </c>
      <c r="U109" s="27" t="s">
        <v>257</v>
      </c>
      <c r="V109" s="27" t="s">
        <v>259</v>
      </c>
      <c r="W109" s="27" t="s">
        <v>554</v>
      </c>
      <c r="X109" s="27" t="s">
        <v>293</v>
      </c>
      <c r="Y109" t="s">
        <v>293</v>
      </c>
      <c r="Z109" t="s">
        <v>299</v>
      </c>
      <c r="AA109" s="32"/>
      <c r="AB109">
        <v>9</v>
      </c>
      <c r="AC109">
        <f t="shared" ref="AC109:AC140" si="9">ABS(C109)</f>
        <v>0</v>
      </c>
      <c r="AD109" t="str">
        <f t="shared" si="7"/>
        <v>Hierro:4 May 2011-8 Aug 2011</v>
      </c>
      <c r="AE109" t="s">
        <v>202</v>
      </c>
      <c r="AF109" t="s">
        <v>222</v>
      </c>
      <c r="AG109"/>
      <c r="AH109"/>
      <c r="AI109"/>
      <c r="AJ109"/>
      <c r="AK109"/>
      <c r="AL109"/>
      <c r="AM109"/>
      <c r="AN109"/>
      <c r="AO109"/>
      <c r="AP109"/>
    </row>
    <row r="110" spans="1:42" x14ac:dyDescent="0.2">
      <c r="A110">
        <v>383020</v>
      </c>
      <c r="B110" t="s">
        <v>344</v>
      </c>
      <c r="C110" s="32"/>
      <c r="D110" s="8" t="s">
        <v>507</v>
      </c>
      <c r="E110" s="8" t="s">
        <v>508</v>
      </c>
      <c r="F110">
        <v>0.16438356164383561</v>
      </c>
      <c r="I110">
        <v>20</v>
      </c>
      <c r="K110" s="12">
        <v>300</v>
      </c>
      <c r="L110" s="32">
        <v>1</v>
      </c>
      <c r="M110">
        <v>4.5</v>
      </c>
      <c r="N110">
        <v>9.5</v>
      </c>
      <c r="O110">
        <v>12</v>
      </c>
      <c r="Q110" s="34">
        <v>1</v>
      </c>
      <c r="T110" s="27" t="s">
        <v>238</v>
      </c>
      <c r="U110" s="27" t="s">
        <v>257</v>
      </c>
      <c r="V110" s="27" t="s">
        <v>259</v>
      </c>
      <c r="W110" s="27" t="s">
        <v>554</v>
      </c>
      <c r="X110" s="27" t="s">
        <v>293</v>
      </c>
      <c r="Y110" t="s">
        <v>293</v>
      </c>
      <c r="Z110" t="s">
        <v>299</v>
      </c>
      <c r="AA110" s="32"/>
      <c r="AB110">
        <v>12</v>
      </c>
      <c r="AC110">
        <f t="shared" si="9"/>
        <v>0</v>
      </c>
      <c r="AD110" t="str">
        <f t="shared" si="7"/>
        <v>Hierro:31 Aug 2011-30 Oct 2011</v>
      </c>
      <c r="AE110" t="s">
        <v>202</v>
      </c>
      <c r="AF110" t="s">
        <v>222</v>
      </c>
    </row>
    <row r="111" spans="1:42" x14ac:dyDescent="0.2">
      <c r="A111">
        <v>371051</v>
      </c>
      <c r="B111" s="8" t="s">
        <v>87</v>
      </c>
      <c r="C111" s="15">
        <v>2</v>
      </c>
      <c r="D111" s="8" t="s">
        <v>143</v>
      </c>
      <c r="E111" s="8" t="s">
        <v>157</v>
      </c>
      <c r="F111" s="19">
        <v>5</v>
      </c>
      <c r="I111">
        <v>10</v>
      </c>
      <c r="J111" s="10">
        <f>K111/(I111*PI())</f>
        <v>2.5146481008519466</v>
      </c>
      <c r="K111" s="15">
        <v>79</v>
      </c>
      <c r="L111" s="32">
        <v>1</v>
      </c>
      <c r="M111">
        <v>7</v>
      </c>
      <c r="N111">
        <v>7</v>
      </c>
      <c r="O111" s="42">
        <f>C111*F111</f>
        <v>10</v>
      </c>
      <c r="Q111" s="22">
        <v>1</v>
      </c>
      <c r="S111" s="16" t="s">
        <v>281</v>
      </c>
      <c r="T111" s="26" t="s">
        <v>234</v>
      </c>
      <c r="U111" s="26" t="s">
        <v>258</v>
      </c>
      <c r="V111" s="26" t="s">
        <v>251</v>
      </c>
      <c r="W111" s="26"/>
      <c r="X111" s="27" t="s">
        <v>561</v>
      </c>
      <c r="Y111" t="s">
        <v>295</v>
      </c>
      <c r="Z111" t="s">
        <v>299</v>
      </c>
      <c r="AA111" s="15">
        <v>2</v>
      </c>
      <c r="AB111" s="42"/>
      <c r="AC111">
        <f t="shared" si="9"/>
        <v>2</v>
      </c>
      <c r="AD111" t="str">
        <f t="shared" si="7"/>
        <v>Hrómundartindur:1993-1998</v>
      </c>
      <c r="AE111" t="s">
        <v>202</v>
      </c>
      <c r="AF111" t="s">
        <v>222</v>
      </c>
    </row>
    <row r="112" spans="1:42" x14ac:dyDescent="0.2">
      <c r="A112">
        <v>358057</v>
      </c>
      <c r="B112" s="8" t="s">
        <v>53</v>
      </c>
      <c r="C112" s="15">
        <v>3</v>
      </c>
      <c r="D112" s="8" t="s">
        <v>135</v>
      </c>
      <c r="E112" s="8" t="s">
        <v>186</v>
      </c>
      <c r="F112" s="19">
        <v>7</v>
      </c>
      <c r="I112" s="10">
        <v>31</v>
      </c>
      <c r="J112" s="10">
        <f>K112/(I112*PI())</f>
        <v>7.752385937701999</v>
      </c>
      <c r="K112" s="15">
        <v>755</v>
      </c>
      <c r="L112" s="32">
        <v>1</v>
      </c>
      <c r="M112">
        <v>4</v>
      </c>
      <c r="N112">
        <v>8</v>
      </c>
      <c r="O112" s="42">
        <f>C112*F112</f>
        <v>21</v>
      </c>
      <c r="Q112" s="22">
        <v>2</v>
      </c>
      <c r="S112" s="16" t="s">
        <v>279</v>
      </c>
      <c r="T112" s="26" t="s">
        <v>234</v>
      </c>
      <c r="U112" s="26" t="s">
        <v>252</v>
      </c>
      <c r="V112" s="26" t="s">
        <v>251</v>
      </c>
      <c r="W112" s="26"/>
      <c r="X112" s="27" t="s">
        <v>293</v>
      </c>
      <c r="Y112" t="s">
        <v>293</v>
      </c>
      <c r="Z112" t="s">
        <v>299</v>
      </c>
      <c r="AA112" s="15">
        <v>3</v>
      </c>
      <c r="AB112" s="42"/>
      <c r="AC112">
        <f t="shared" si="9"/>
        <v>3</v>
      </c>
      <c r="AD112" t="str">
        <f t="shared" si="7"/>
        <v>Hudson, Cerro:2004-2011</v>
      </c>
      <c r="AE112" t="s">
        <v>202</v>
      </c>
      <c r="AF112" t="s">
        <v>222</v>
      </c>
    </row>
    <row r="113" spans="1:32" x14ac:dyDescent="0.2">
      <c r="A113">
        <v>358057</v>
      </c>
      <c r="B113" s="8" t="s">
        <v>53</v>
      </c>
      <c r="C113" s="15">
        <v>5</v>
      </c>
      <c r="D113" s="8" t="s">
        <v>129</v>
      </c>
      <c r="E113" s="8" t="s">
        <v>132</v>
      </c>
      <c r="F113" s="19">
        <v>5</v>
      </c>
      <c r="I113" s="10">
        <v>30</v>
      </c>
      <c r="J113" s="10">
        <f>K113/(I113*PI())</f>
        <v>7.5015029843980008</v>
      </c>
      <c r="K113" s="15">
        <v>707</v>
      </c>
      <c r="L113" s="32">
        <v>1</v>
      </c>
      <c r="M113">
        <v>4</v>
      </c>
      <c r="N113">
        <v>8</v>
      </c>
      <c r="O113" s="42">
        <f>C113*F113</f>
        <v>25</v>
      </c>
      <c r="Q113" s="22">
        <v>2</v>
      </c>
      <c r="S113" s="16" t="s">
        <v>279</v>
      </c>
      <c r="T113" s="26" t="s">
        <v>234</v>
      </c>
      <c r="U113" s="26" t="s">
        <v>252</v>
      </c>
      <c r="V113" s="26" t="s">
        <v>251</v>
      </c>
      <c r="W113" s="26"/>
      <c r="X113" s="27" t="s">
        <v>293</v>
      </c>
      <c r="Y113" t="s">
        <v>293</v>
      </c>
      <c r="Z113" t="s">
        <v>304</v>
      </c>
      <c r="AA113" s="15">
        <v>5</v>
      </c>
      <c r="AB113" s="42"/>
      <c r="AC113">
        <f t="shared" si="9"/>
        <v>5</v>
      </c>
      <c r="AD113" t="str">
        <f t="shared" si="7"/>
        <v>Hudson, Cerro:1993-1998</v>
      </c>
      <c r="AE113" t="s">
        <v>202</v>
      </c>
      <c r="AF113" t="s">
        <v>222</v>
      </c>
    </row>
    <row r="114" spans="1:32" x14ac:dyDescent="0.2">
      <c r="A114">
        <v>268030</v>
      </c>
      <c r="B114" t="s">
        <v>327</v>
      </c>
      <c r="C114" s="32"/>
      <c r="D114" s="8" t="s">
        <v>401</v>
      </c>
      <c r="E114" s="8" t="s">
        <v>402</v>
      </c>
      <c r="F114">
        <v>0.16712328767123288</v>
      </c>
      <c r="O114">
        <v>2</v>
      </c>
      <c r="Q114" s="34">
        <v>2</v>
      </c>
      <c r="T114" s="26" t="s">
        <v>234</v>
      </c>
      <c r="U114" s="26" t="s">
        <v>260</v>
      </c>
      <c r="V114" s="26" t="s">
        <v>250</v>
      </c>
      <c r="W114" s="27" t="s">
        <v>554</v>
      </c>
      <c r="X114" s="27" t="s">
        <v>561</v>
      </c>
      <c r="Y114" t="s">
        <v>288</v>
      </c>
      <c r="AA114" s="15">
        <f>-1*C114</f>
        <v>0</v>
      </c>
      <c r="AB114" s="42"/>
      <c r="AC114">
        <f t="shared" si="9"/>
        <v>0</v>
      </c>
      <c r="AD114" t="str">
        <f t="shared" si="7"/>
        <v>Ibu:Aug 2007-Oct 2007</v>
      </c>
      <c r="AE114" t="s">
        <v>202</v>
      </c>
      <c r="AF114" t="s">
        <v>222</v>
      </c>
    </row>
    <row r="115" spans="1:32" x14ac:dyDescent="0.2">
      <c r="A115">
        <v>268030</v>
      </c>
      <c r="B115" t="s">
        <v>327</v>
      </c>
      <c r="C115" s="32"/>
      <c r="D115" s="8" t="s">
        <v>402</v>
      </c>
      <c r="E115" s="8" t="s">
        <v>403</v>
      </c>
      <c r="F115">
        <v>0.25205479452054796</v>
      </c>
      <c r="O115">
        <v>7</v>
      </c>
      <c r="Q115" s="34">
        <v>2</v>
      </c>
      <c r="T115" s="26" t="s">
        <v>234</v>
      </c>
      <c r="U115" s="26" t="s">
        <v>260</v>
      </c>
      <c r="V115" s="26" t="s">
        <v>250</v>
      </c>
      <c r="W115" s="27" t="s">
        <v>554</v>
      </c>
      <c r="X115" s="27" t="s">
        <v>294</v>
      </c>
      <c r="Y115" t="s">
        <v>287</v>
      </c>
      <c r="AA115" s="15">
        <f>-1*C115</f>
        <v>0</v>
      </c>
      <c r="AB115" s="42"/>
      <c r="AC115">
        <f t="shared" si="9"/>
        <v>0</v>
      </c>
      <c r="AD115" t="str">
        <f t="shared" si="7"/>
        <v>Ibu:Oct 2007-Jan 2008</v>
      </c>
      <c r="AE115" t="s">
        <v>202</v>
      </c>
      <c r="AF115" t="s">
        <v>222</v>
      </c>
    </row>
    <row r="116" spans="1:32" x14ac:dyDescent="0.2">
      <c r="A116">
        <v>268030</v>
      </c>
      <c r="B116" t="s">
        <v>327</v>
      </c>
      <c r="C116" s="32"/>
      <c r="D116" s="8" t="s">
        <v>404</v>
      </c>
      <c r="E116" s="8" t="s">
        <v>364</v>
      </c>
      <c r="F116">
        <v>0.24931506849315069</v>
      </c>
      <c r="O116">
        <v>10</v>
      </c>
      <c r="Q116" s="34">
        <v>2</v>
      </c>
      <c r="T116" s="26" t="s">
        <v>234</v>
      </c>
      <c r="U116" s="26" t="s">
        <v>260</v>
      </c>
      <c r="V116" s="26" t="s">
        <v>250</v>
      </c>
      <c r="W116" s="27" t="s">
        <v>554</v>
      </c>
      <c r="X116" s="27" t="s">
        <v>294</v>
      </c>
      <c r="Y116" t="s">
        <v>287</v>
      </c>
      <c r="Z116" t="s">
        <v>297</v>
      </c>
      <c r="AA116" s="15">
        <f>-1*C116</f>
        <v>0</v>
      </c>
      <c r="AB116" s="42"/>
      <c r="AC116">
        <f t="shared" si="9"/>
        <v>0</v>
      </c>
      <c r="AD116" t="str">
        <f t="shared" si="7"/>
        <v>Ibu:Apr 2008-Jul 2008</v>
      </c>
      <c r="AE116" t="s">
        <v>202</v>
      </c>
      <c r="AF116" t="s">
        <v>222</v>
      </c>
    </row>
    <row r="117" spans="1:32" x14ac:dyDescent="0.2">
      <c r="A117">
        <v>323120</v>
      </c>
      <c r="B117" s="8" t="s">
        <v>88</v>
      </c>
      <c r="C117" s="15">
        <v>1</v>
      </c>
      <c r="D117" s="8" t="s">
        <v>167</v>
      </c>
      <c r="E117" s="8" t="s">
        <v>152</v>
      </c>
      <c r="F117" s="19">
        <v>6</v>
      </c>
      <c r="I117">
        <v>30</v>
      </c>
      <c r="J117" s="10">
        <v>25</v>
      </c>
      <c r="K117" s="15">
        <v>589</v>
      </c>
      <c r="L117">
        <f>I117/J117</f>
        <v>1.2</v>
      </c>
      <c r="M117">
        <v>6.6</v>
      </c>
      <c r="N117">
        <v>8.6999999999999993</v>
      </c>
      <c r="O117" s="42">
        <f>C117*F117</f>
        <v>6</v>
      </c>
      <c r="Q117" s="22">
        <v>1</v>
      </c>
      <c r="S117" s="16" t="s">
        <v>277</v>
      </c>
      <c r="T117" s="26" t="s">
        <v>243</v>
      </c>
      <c r="U117" s="26" t="s">
        <v>254</v>
      </c>
      <c r="V117" s="26" t="s">
        <v>256</v>
      </c>
      <c r="W117" s="26"/>
      <c r="X117" s="27" t="s">
        <v>293</v>
      </c>
      <c r="Y117" t="s">
        <v>293</v>
      </c>
      <c r="Z117" t="s">
        <v>302</v>
      </c>
      <c r="AA117" s="15">
        <v>1</v>
      </c>
      <c r="AB117" s="42"/>
      <c r="AC117">
        <f t="shared" si="9"/>
        <v>1</v>
      </c>
      <c r="AD117" t="str">
        <f t="shared" si="7"/>
        <v>Inyo Craters:1990-1996</v>
      </c>
      <c r="AE117" t="s">
        <v>202</v>
      </c>
      <c r="AF117" t="s">
        <v>222</v>
      </c>
    </row>
    <row r="118" spans="1:32" x14ac:dyDescent="0.2">
      <c r="A118" s="11">
        <v>323120</v>
      </c>
      <c r="B118" s="31" t="s">
        <v>88</v>
      </c>
      <c r="C118" s="15">
        <v>1</v>
      </c>
      <c r="D118" s="8" t="s">
        <v>141</v>
      </c>
      <c r="E118" s="8" t="s">
        <v>134</v>
      </c>
      <c r="F118" s="19">
        <v>1</v>
      </c>
      <c r="I118">
        <v>30</v>
      </c>
      <c r="J118" s="10">
        <v>25</v>
      </c>
      <c r="K118" s="15">
        <v>589</v>
      </c>
      <c r="L118">
        <f>I118/J118</f>
        <v>1.2</v>
      </c>
      <c r="M118">
        <v>4.5</v>
      </c>
      <c r="N118">
        <v>13.5</v>
      </c>
      <c r="O118" s="42">
        <f>C118*F118</f>
        <v>1</v>
      </c>
      <c r="Q118" s="22">
        <v>1</v>
      </c>
      <c r="S118" s="16" t="s">
        <v>277</v>
      </c>
      <c r="T118" s="26" t="s">
        <v>243</v>
      </c>
      <c r="U118" s="26" t="s">
        <v>254</v>
      </c>
      <c r="V118" s="26" t="s">
        <v>256</v>
      </c>
      <c r="W118" s="26"/>
      <c r="X118" s="27" t="s">
        <v>293</v>
      </c>
      <c r="Y118" t="s">
        <v>293</v>
      </c>
      <c r="Z118" s="26" t="s">
        <v>563</v>
      </c>
      <c r="AA118" s="15">
        <v>1</v>
      </c>
      <c r="AB118" s="42"/>
      <c r="AC118">
        <f t="shared" si="9"/>
        <v>1</v>
      </c>
      <c r="AD118" t="str">
        <f t="shared" si="7"/>
        <v>Inyo Craters:2002-2003</v>
      </c>
      <c r="AE118" t="s">
        <v>202</v>
      </c>
      <c r="AF118" t="s">
        <v>222</v>
      </c>
    </row>
    <row r="119" spans="1:32" x14ac:dyDescent="0.2">
      <c r="A119" s="11">
        <v>323120</v>
      </c>
      <c r="B119" s="31" t="s">
        <v>88</v>
      </c>
      <c r="C119" s="15">
        <v>1</v>
      </c>
      <c r="D119" s="8" t="s">
        <v>163</v>
      </c>
      <c r="E119" s="8" t="s">
        <v>191</v>
      </c>
      <c r="F119" s="19">
        <v>3</v>
      </c>
      <c r="I119">
        <v>30</v>
      </c>
      <c r="J119" s="10">
        <v>25</v>
      </c>
      <c r="K119" s="15">
        <v>589</v>
      </c>
      <c r="L119">
        <f>I119/J119</f>
        <v>1.2</v>
      </c>
      <c r="M119">
        <v>7.2</v>
      </c>
      <c r="N119">
        <v>7.2</v>
      </c>
      <c r="O119" s="42">
        <f>C119*F119</f>
        <v>3</v>
      </c>
      <c r="Q119" s="22">
        <v>1</v>
      </c>
      <c r="S119" s="16" t="s">
        <v>277</v>
      </c>
      <c r="T119" s="26" t="s">
        <v>243</v>
      </c>
      <c r="U119" s="26" t="s">
        <v>254</v>
      </c>
      <c r="V119" s="26" t="s">
        <v>256</v>
      </c>
      <c r="W119" s="26"/>
      <c r="X119" s="27" t="s">
        <v>293</v>
      </c>
      <c r="Y119" t="s">
        <v>293</v>
      </c>
      <c r="Z119" s="26" t="s">
        <v>563</v>
      </c>
      <c r="AA119" s="15">
        <v>1</v>
      </c>
      <c r="AB119" s="42"/>
      <c r="AC119">
        <f t="shared" si="9"/>
        <v>1</v>
      </c>
      <c r="AD119" t="str">
        <f t="shared" si="7"/>
        <v>Inyo Craters:2011-2014</v>
      </c>
      <c r="AE119" t="s">
        <v>202</v>
      </c>
      <c r="AF119" t="s">
        <v>222</v>
      </c>
    </row>
    <row r="120" spans="1:32" x14ac:dyDescent="0.2">
      <c r="A120" s="11">
        <v>323120</v>
      </c>
      <c r="B120" s="31" t="s">
        <v>88</v>
      </c>
      <c r="C120" s="15">
        <v>18</v>
      </c>
      <c r="D120" s="8" t="s">
        <v>131</v>
      </c>
      <c r="E120" s="8" t="s">
        <v>132</v>
      </c>
      <c r="F120" s="19">
        <v>1</v>
      </c>
      <c r="I120">
        <v>30</v>
      </c>
      <c r="J120" s="10">
        <v>25</v>
      </c>
      <c r="K120" s="15">
        <v>589</v>
      </c>
      <c r="L120">
        <f>I120/J120</f>
        <v>1.2</v>
      </c>
      <c r="M120">
        <v>6.6</v>
      </c>
      <c r="N120">
        <v>8.4</v>
      </c>
      <c r="O120" s="42">
        <f>C120*F120</f>
        <v>18</v>
      </c>
      <c r="Q120" s="22">
        <v>1</v>
      </c>
      <c r="S120" s="16" t="s">
        <v>277</v>
      </c>
      <c r="T120" s="26" t="s">
        <v>243</v>
      </c>
      <c r="U120" s="26" t="s">
        <v>254</v>
      </c>
      <c r="V120" s="26" t="s">
        <v>256</v>
      </c>
      <c r="W120" s="26"/>
      <c r="X120" s="27" t="s">
        <v>293</v>
      </c>
      <c r="Y120" t="s">
        <v>293</v>
      </c>
      <c r="Z120" s="26" t="s">
        <v>563</v>
      </c>
      <c r="AA120" s="15">
        <v>18</v>
      </c>
      <c r="AB120" s="42"/>
      <c r="AC120">
        <f t="shared" si="9"/>
        <v>18</v>
      </c>
      <c r="AD120" t="str">
        <f t="shared" si="7"/>
        <v>Inyo Craters:1997-1998</v>
      </c>
      <c r="AE120" t="s">
        <v>202</v>
      </c>
      <c r="AF120" t="s">
        <v>222</v>
      </c>
    </row>
    <row r="121" spans="1:32" x14ac:dyDescent="0.2">
      <c r="A121">
        <v>284120</v>
      </c>
      <c r="B121" t="s">
        <v>345</v>
      </c>
      <c r="C121" s="32"/>
      <c r="D121" s="8" t="s">
        <v>509</v>
      </c>
      <c r="E121" s="8" t="s">
        <v>145</v>
      </c>
      <c r="F121">
        <v>18</v>
      </c>
      <c r="O121">
        <v>300</v>
      </c>
      <c r="Q121" s="34">
        <v>1</v>
      </c>
      <c r="T121" s="16" t="s">
        <v>233</v>
      </c>
      <c r="U121" s="16" t="s">
        <v>268</v>
      </c>
      <c r="V121" s="16" t="s">
        <v>265</v>
      </c>
      <c r="W121" s="27" t="s">
        <v>554</v>
      </c>
      <c r="X121" s="27" t="s">
        <v>293</v>
      </c>
      <c r="Y121" t="s">
        <v>286</v>
      </c>
      <c r="Z121" t="s">
        <v>296</v>
      </c>
      <c r="AA121" s="32"/>
      <c r="AB121">
        <v>300</v>
      </c>
      <c r="AC121">
        <f t="shared" si="9"/>
        <v>0</v>
      </c>
      <c r="AD121" t="str">
        <f t="shared" si="7"/>
        <v>Ioto (Iwo Jima):1977-1995</v>
      </c>
      <c r="AE121" t="s">
        <v>202</v>
      </c>
      <c r="AF121" t="s">
        <v>222</v>
      </c>
    </row>
    <row r="122" spans="1:32" x14ac:dyDescent="0.2">
      <c r="A122">
        <v>284120</v>
      </c>
      <c r="B122" t="s">
        <v>345</v>
      </c>
      <c r="C122" s="32"/>
      <c r="D122" s="8" t="s">
        <v>510</v>
      </c>
      <c r="E122" s="8" t="s">
        <v>511</v>
      </c>
      <c r="F122">
        <v>2.0493150684931507</v>
      </c>
      <c r="O122">
        <v>62.4</v>
      </c>
      <c r="Q122" s="34">
        <v>1</v>
      </c>
      <c r="T122" s="16" t="s">
        <v>233</v>
      </c>
      <c r="U122" s="16" t="s">
        <v>268</v>
      </c>
      <c r="V122" s="16" t="s">
        <v>265</v>
      </c>
      <c r="W122" s="27" t="s">
        <v>554</v>
      </c>
      <c r="X122" s="27" t="s">
        <v>294</v>
      </c>
      <c r="Y122" t="s">
        <v>287</v>
      </c>
      <c r="AA122" s="15">
        <f>-1*C122</f>
        <v>0</v>
      </c>
      <c r="AB122" s="42"/>
      <c r="AC122">
        <f t="shared" si="9"/>
        <v>0</v>
      </c>
      <c r="AD122" t="str">
        <f t="shared" si="7"/>
        <v>Ioto (Iwo Jima):28 Jun 1993-16 Jul 1995</v>
      </c>
      <c r="AE122" t="s">
        <v>202</v>
      </c>
      <c r="AF122" t="s">
        <v>222</v>
      </c>
    </row>
    <row r="123" spans="1:32" x14ac:dyDescent="0.2">
      <c r="A123">
        <v>283240</v>
      </c>
      <c r="B123" t="s">
        <v>346</v>
      </c>
      <c r="C123" s="32"/>
      <c r="D123" s="8" t="s">
        <v>512</v>
      </c>
      <c r="E123" s="8" t="s">
        <v>500</v>
      </c>
      <c r="F123">
        <v>0.24931506849315069</v>
      </c>
      <c r="H123">
        <v>13</v>
      </c>
      <c r="I123">
        <v>12</v>
      </c>
      <c r="K123">
        <v>113</v>
      </c>
      <c r="L123" s="32">
        <v>1</v>
      </c>
      <c r="M123">
        <v>7.9</v>
      </c>
      <c r="N123">
        <v>7.9</v>
      </c>
      <c r="O123">
        <v>10</v>
      </c>
      <c r="Q123" s="34">
        <v>1</v>
      </c>
      <c r="T123" s="26" t="s">
        <v>235</v>
      </c>
      <c r="U123" s="26" t="s">
        <v>252</v>
      </c>
      <c r="V123" s="26" t="s">
        <v>251</v>
      </c>
      <c r="W123" s="27" t="s">
        <v>554</v>
      </c>
      <c r="X123" s="27" t="s">
        <v>293</v>
      </c>
      <c r="Y123" t="s">
        <v>293</v>
      </c>
      <c r="Z123" t="s">
        <v>299</v>
      </c>
      <c r="AA123" s="32"/>
      <c r="AB123">
        <v>10</v>
      </c>
      <c r="AC123">
        <f t="shared" si="9"/>
        <v>0</v>
      </c>
      <c r="AD123" t="str">
        <f t="shared" si="7"/>
        <v>Iwatesan:Apr 1998-Jul 1998</v>
      </c>
      <c r="AE123" t="s">
        <v>202</v>
      </c>
      <c r="AF123" t="s">
        <v>222</v>
      </c>
    </row>
    <row r="124" spans="1:32" x14ac:dyDescent="0.2">
      <c r="A124">
        <v>284010</v>
      </c>
      <c r="B124" s="8" t="s">
        <v>89</v>
      </c>
      <c r="C124" s="15">
        <v>3.3</v>
      </c>
      <c r="D124" s="8" t="s">
        <v>129</v>
      </c>
      <c r="E124" s="8" t="s">
        <v>133</v>
      </c>
      <c r="F124" s="19">
        <v>6</v>
      </c>
      <c r="J124" s="10"/>
      <c r="O124" s="45">
        <f>C124*F124</f>
        <v>19.799999999999997</v>
      </c>
      <c r="Q124" s="22">
        <v>1</v>
      </c>
      <c r="S124" s="16" t="s">
        <v>275</v>
      </c>
      <c r="T124" s="26" t="s">
        <v>234</v>
      </c>
      <c r="U124" s="26" t="s">
        <v>260</v>
      </c>
      <c r="V124" s="26" t="s">
        <v>251</v>
      </c>
      <c r="W124" s="26"/>
      <c r="X124" s="27" t="s">
        <v>294</v>
      </c>
      <c r="Y124" t="s">
        <v>290</v>
      </c>
      <c r="Z124" t="s">
        <v>306</v>
      </c>
      <c r="AA124" s="15">
        <f>-1*C124</f>
        <v>-3.3</v>
      </c>
      <c r="AB124" s="42"/>
      <c r="AC124">
        <f t="shared" si="9"/>
        <v>3.3</v>
      </c>
      <c r="AD124" t="str">
        <f t="shared" si="7"/>
        <v>Izu-Oshima:1993-1999</v>
      </c>
      <c r="AE124" t="s">
        <v>202</v>
      </c>
      <c r="AF124" t="s">
        <v>222</v>
      </c>
    </row>
    <row r="125" spans="1:32" x14ac:dyDescent="0.2">
      <c r="A125">
        <v>311110</v>
      </c>
      <c r="B125" s="8" t="s">
        <v>54</v>
      </c>
      <c r="C125" s="15">
        <v>1.5</v>
      </c>
      <c r="D125" s="8" t="s">
        <v>135</v>
      </c>
      <c r="E125" s="8" t="s">
        <v>179</v>
      </c>
      <c r="F125" s="19">
        <v>5</v>
      </c>
      <c r="J125" s="10"/>
      <c r="O125" s="45">
        <f>C125*F125</f>
        <v>7.5</v>
      </c>
      <c r="Q125" s="22">
        <v>2</v>
      </c>
      <c r="S125" s="16" t="s">
        <v>248</v>
      </c>
      <c r="T125" s="26" t="s">
        <v>234</v>
      </c>
      <c r="U125" s="26" t="s">
        <v>249</v>
      </c>
      <c r="V125" s="26" t="s">
        <v>250</v>
      </c>
      <c r="W125" s="26"/>
      <c r="X125" s="27" t="s">
        <v>294</v>
      </c>
      <c r="Y125" t="s">
        <v>290</v>
      </c>
      <c r="Z125" t="s">
        <v>300</v>
      </c>
      <c r="AA125" s="15">
        <f>-1*C125</f>
        <v>-1.5</v>
      </c>
      <c r="AB125" s="42"/>
      <c r="AC125">
        <f t="shared" si="9"/>
        <v>1.5</v>
      </c>
      <c r="AD125" t="str">
        <f t="shared" si="7"/>
        <v>Kanaga:2004-2009</v>
      </c>
      <c r="AE125" t="s">
        <v>202</v>
      </c>
      <c r="AF125" t="s">
        <v>222</v>
      </c>
    </row>
    <row r="126" spans="1:32" x14ac:dyDescent="0.2">
      <c r="A126">
        <v>263280</v>
      </c>
      <c r="B126" s="6" t="s">
        <v>328</v>
      </c>
      <c r="C126" s="32"/>
      <c r="D126" s="8" t="s">
        <v>405</v>
      </c>
      <c r="E126" s="8" t="s">
        <v>406</v>
      </c>
      <c r="F126">
        <v>0.32876712328767121</v>
      </c>
      <c r="O126">
        <v>11</v>
      </c>
      <c r="Q126" s="34">
        <v>2</v>
      </c>
      <c r="T126" s="26" t="s">
        <v>234</v>
      </c>
      <c r="U126" s="26" t="s">
        <v>252</v>
      </c>
      <c r="V126" s="26" t="s">
        <v>250</v>
      </c>
      <c r="W126" s="27" t="s">
        <v>554</v>
      </c>
      <c r="X126" s="27" t="s">
        <v>293</v>
      </c>
      <c r="Y126" t="s">
        <v>293</v>
      </c>
      <c r="AA126" s="32"/>
      <c r="AB126">
        <v>11</v>
      </c>
      <c r="AC126">
        <f t="shared" si="9"/>
        <v>0</v>
      </c>
      <c r="AD126" t="str">
        <f t="shared" si="7"/>
        <v>Kelud:Jan 2007-May 2007</v>
      </c>
      <c r="AE126" t="s">
        <v>202</v>
      </c>
      <c r="AF126" t="s">
        <v>222</v>
      </c>
    </row>
    <row r="127" spans="1:32" x14ac:dyDescent="0.2">
      <c r="A127">
        <v>332010</v>
      </c>
      <c r="B127" t="s">
        <v>214</v>
      </c>
      <c r="C127" s="32"/>
      <c r="D127" s="8" t="s">
        <v>407</v>
      </c>
      <c r="E127" s="8" t="s">
        <v>408</v>
      </c>
      <c r="F127">
        <v>3.6849315068493151</v>
      </c>
      <c r="I127" s="12">
        <v>15</v>
      </c>
      <c r="J127">
        <v>10</v>
      </c>
      <c r="K127">
        <v>118</v>
      </c>
      <c r="L127" s="15">
        <f>15/10</f>
        <v>1.5</v>
      </c>
      <c r="M127" t="s">
        <v>550</v>
      </c>
      <c r="N127" t="s">
        <v>550</v>
      </c>
      <c r="O127">
        <v>23</v>
      </c>
      <c r="Q127" s="34">
        <v>2</v>
      </c>
      <c r="T127" s="16" t="s">
        <v>238</v>
      </c>
      <c r="U127" s="16" t="s">
        <v>257</v>
      </c>
      <c r="V127" s="16" t="s">
        <v>251</v>
      </c>
      <c r="W127" s="27" t="s">
        <v>554</v>
      </c>
      <c r="X127" s="27" t="s">
        <v>294</v>
      </c>
      <c r="Y127" t="s">
        <v>287</v>
      </c>
      <c r="AA127" s="15">
        <f>-1*C127</f>
        <v>0</v>
      </c>
      <c r="AB127" s="42"/>
      <c r="AC127">
        <f t="shared" si="9"/>
        <v>0</v>
      </c>
      <c r="AD127" t="str">
        <f t="shared" si="7"/>
        <v>Kilauea:22 Jan 2000-28 Sep 2003</v>
      </c>
      <c r="AE127" t="s">
        <v>202</v>
      </c>
      <c r="AF127" t="s">
        <v>222</v>
      </c>
    </row>
    <row r="128" spans="1:32" x14ac:dyDescent="0.2">
      <c r="A128">
        <v>332010</v>
      </c>
      <c r="B128" t="s">
        <v>214</v>
      </c>
      <c r="C128" s="32"/>
      <c r="D128" s="8" t="s">
        <v>408</v>
      </c>
      <c r="E128" s="8" t="s">
        <v>409</v>
      </c>
      <c r="F128">
        <v>3.6821917808219178</v>
      </c>
      <c r="I128" s="12">
        <v>5</v>
      </c>
      <c r="K128">
        <v>20</v>
      </c>
      <c r="L128" s="32">
        <v>1</v>
      </c>
      <c r="M128" t="s">
        <v>550</v>
      </c>
      <c r="N128" t="s">
        <v>550</v>
      </c>
      <c r="O128">
        <v>43</v>
      </c>
      <c r="Q128" s="34">
        <v>2</v>
      </c>
      <c r="T128" s="16" t="s">
        <v>238</v>
      </c>
      <c r="U128" s="16" t="s">
        <v>257</v>
      </c>
      <c r="V128" s="16" t="s">
        <v>251</v>
      </c>
      <c r="W128" s="27" t="s">
        <v>554</v>
      </c>
      <c r="X128" s="27" t="s">
        <v>293</v>
      </c>
      <c r="Y128" t="s">
        <v>286</v>
      </c>
      <c r="Z128" t="s">
        <v>299</v>
      </c>
      <c r="AA128" s="32"/>
      <c r="AB128">
        <v>43</v>
      </c>
      <c r="AC128">
        <f t="shared" si="9"/>
        <v>0</v>
      </c>
      <c r="AD128" t="str">
        <f t="shared" si="7"/>
        <v>Kilauea:28 Sep 2003-3 Jun 2007</v>
      </c>
      <c r="AE128" t="s">
        <v>202</v>
      </c>
      <c r="AF128" t="s">
        <v>222</v>
      </c>
    </row>
    <row r="129" spans="1:32" x14ac:dyDescent="0.2">
      <c r="A129">
        <v>332010</v>
      </c>
      <c r="B129" t="s">
        <v>214</v>
      </c>
      <c r="C129" s="32"/>
      <c r="D129" s="8" t="s">
        <v>412</v>
      </c>
      <c r="E129" s="8" t="s">
        <v>413</v>
      </c>
      <c r="F129">
        <v>0.66027397260273968</v>
      </c>
      <c r="I129">
        <v>6</v>
      </c>
      <c r="K129">
        <v>28</v>
      </c>
      <c r="L129" s="32">
        <v>1</v>
      </c>
      <c r="M129" t="s">
        <v>550</v>
      </c>
      <c r="N129" t="s">
        <v>550</v>
      </c>
      <c r="O129">
        <v>25</v>
      </c>
      <c r="Q129" s="34">
        <v>2</v>
      </c>
      <c r="T129" s="16" t="s">
        <v>238</v>
      </c>
      <c r="U129" s="16" t="s">
        <v>257</v>
      </c>
      <c r="V129" s="16" t="s">
        <v>251</v>
      </c>
      <c r="W129" s="27" t="s">
        <v>554</v>
      </c>
      <c r="X129" s="27" t="s">
        <v>294</v>
      </c>
      <c r="Y129" t="s">
        <v>287</v>
      </c>
      <c r="Z129" t="s">
        <v>299</v>
      </c>
      <c r="AA129" s="15">
        <f>-1*C129</f>
        <v>0</v>
      </c>
      <c r="AB129" s="42"/>
      <c r="AC129">
        <f t="shared" si="9"/>
        <v>0</v>
      </c>
      <c r="AD129" t="str">
        <f t="shared" si="7"/>
        <v>Kilauea:20 Jul 2007-17 Mar 2008</v>
      </c>
      <c r="AE129" t="s">
        <v>202</v>
      </c>
      <c r="AF129" t="s">
        <v>222</v>
      </c>
    </row>
    <row r="130" spans="1:32" x14ac:dyDescent="0.2">
      <c r="A130">
        <v>332010</v>
      </c>
      <c r="B130" t="s">
        <v>214</v>
      </c>
      <c r="C130" s="32"/>
      <c r="D130" s="8" t="s">
        <v>410</v>
      </c>
      <c r="E130" s="8" t="s">
        <v>411</v>
      </c>
      <c r="F130">
        <v>6.575342465753424E-2</v>
      </c>
      <c r="I130">
        <v>3</v>
      </c>
      <c r="K130">
        <v>7</v>
      </c>
      <c r="L130" s="32">
        <v>1</v>
      </c>
      <c r="M130" t="s">
        <v>550</v>
      </c>
      <c r="N130" t="s">
        <v>550</v>
      </c>
      <c r="O130">
        <v>6</v>
      </c>
      <c r="Q130" s="34">
        <v>2</v>
      </c>
      <c r="T130" s="16" t="s">
        <v>238</v>
      </c>
      <c r="U130" s="16" t="s">
        <v>257</v>
      </c>
      <c r="V130" s="16" t="s">
        <v>251</v>
      </c>
      <c r="W130" s="27" t="s">
        <v>554</v>
      </c>
      <c r="X130" s="27" t="s">
        <v>293</v>
      </c>
      <c r="Y130" t="s">
        <v>286</v>
      </c>
      <c r="Z130" t="s">
        <v>299</v>
      </c>
      <c r="AA130" s="32"/>
      <c r="AB130">
        <v>6</v>
      </c>
      <c r="AC130">
        <f t="shared" si="9"/>
        <v>0</v>
      </c>
      <c r="AD130" t="str">
        <f t="shared" ref="AD130:AD193" si="10">_xlfn.CONCAT(B130,$AK$3,D130,$AK$2,E130)</f>
        <v>Kilauea:27 Jun 2007-21 Jul 2007</v>
      </c>
      <c r="AE130" t="s">
        <v>202</v>
      </c>
      <c r="AF130" t="s">
        <v>222</v>
      </c>
    </row>
    <row r="131" spans="1:32" x14ac:dyDescent="0.2">
      <c r="A131">
        <v>332010</v>
      </c>
      <c r="B131" t="s">
        <v>214</v>
      </c>
      <c r="C131" s="32"/>
      <c r="D131" s="8" t="s">
        <v>409</v>
      </c>
      <c r="E131" s="8" t="s">
        <v>410</v>
      </c>
      <c r="F131">
        <v>6.575342465753424E-2</v>
      </c>
      <c r="I131">
        <v>6</v>
      </c>
      <c r="K131">
        <v>28</v>
      </c>
      <c r="L131" s="32">
        <v>1</v>
      </c>
      <c r="M131" t="s">
        <v>550</v>
      </c>
      <c r="N131" t="s">
        <v>550</v>
      </c>
      <c r="O131">
        <v>30</v>
      </c>
      <c r="Q131" s="34">
        <v>2</v>
      </c>
      <c r="T131" s="16" t="s">
        <v>238</v>
      </c>
      <c r="U131" s="16" t="s">
        <v>257</v>
      </c>
      <c r="V131" s="16" t="s">
        <v>251</v>
      </c>
      <c r="W131" s="27" t="s">
        <v>554</v>
      </c>
      <c r="X131" s="27" t="s">
        <v>561</v>
      </c>
      <c r="Y131" t="s">
        <v>292</v>
      </c>
      <c r="Z131" t="s">
        <v>297</v>
      </c>
      <c r="AA131" s="32"/>
      <c r="AB131">
        <v>30</v>
      </c>
      <c r="AC131">
        <f t="shared" si="9"/>
        <v>0</v>
      </c>
      <c r="AD131" t="str">
        <f t="shared" si="10"/>
        <v>Kilauea:3 Jun 2007-27 Jun 2007</v>
      </c>
      <c r="AE131" t="s">
        <v>202</v>
      </c>
      <c r="AF131" t="s">
        <v>222</v>
      </c>
    </row>
    <row r="132" spans="1:32" x14ac:dyDescent="0.2">
      <c r="A132">
        <v>332010</v>
      </c>
      <c r="B132" t="s">
        <v>214</v>
      </c>
      <c r="C132" s="32"/>
      <c r="D132" s="8" t="s">
        <v>414</v>
      </c>
      <c r="E132" s="8" t="s">
        <v>415</v>
      </c>
      <c r="F132">
        <v>1.0958904109589041E-2</v>
      </c>
      <c r="I132">
        <v>3</v>
      </c>
      <c r="K132">
        <v>7</v>
      </c>
      <c r="L132" s="32">
        <v>1</v>
      </c>
      <c r="M132" t="s">
        <v>550</v>
      </c>
      <c r="N132" t="s">
        <v>550</v>
      </c>
      <c r="O132">
        <v>20</v>
      </c>
      <c r="Q132" s="34">
        <v>2</v>
      </c>
      <c r="T132" s="16" t="s">
        <v>238</v>
      </c>
      <c r="U132" s="16" t="s">
        <v>257</v>
      </c>
      <c r="V132" s="16" t="s">
        <v>251</v>
      </c>
      <c r="W132" s="27" t="s">
        <v>554</v>
      </c>
      <c r="X132" s="27" t="s">
        <v>561</v>
      </c>
      <c r="Y132" t="s">
        <v>288</v>
      </c>
      <c r="Z132" t="s">
        <v>297</v>
      </c>
      <c r="AA132" s="15">
        <f>-1*C132</f>
        <v>0</v>
      </c>
      <c r="AB132" s="42"/>
      <c r="AC132">
        <f t="shared" si="9"/>
        <v>0</v>
      </c>
      <c r="AD132" t="str">
        <f t="shared" si="10"/>
        <v>Kilauea:5 Mar 2011-9 Mar 2011</v>
      </c>
      <c r="AE132" t="s">
        <v>202</v>
      </c>
      <c r="AF132" t="s">
        <v>222</v>
      </c>
    </row>
    <row r="133" spans="1:32" x14ac:dyDescent="0.2">
      <c r="A133">
        <v>282090</v>
      </c>
      <c r="B133" t="s">
        <v>329</v>
      </c>
      <c r="C133" s="32"/>
      <c r="D133" s="8" t="s">
        <v>416</v>
      </c>
      <c r="E133" s="8" t="s">
        <v>417</v>
      </c>
      <c r="F133">
        <v>1.2465753424657535</v>
      </c>
      <c r="H133">
        <v>5</v>
      </c>
      <c r="O133">
        <v>4</v>
      </c>
      <c r="Q133" s="34">
        <v>2</v>
      </c>
      <c r="T133" s="16" t="s">
        <v>238</v>
      </c>
      <c r="U133" s="16" t="s">
        <v>252</v>
      </c>
      <c r="V133" s="16" t="s">
        <v>250</v>
      </c>
      <c r="W133" s="27" t="s">
        <v>554</v>
      </c>
      <c r="X133" s="27" t="s">
        <v>293</v>
      </c>
      <c r="Y133" t="s">
        <v>293</v>
      </c>
      <c r="AA133" s="32"/>
      <c r="AB133">
        <v>4</v>
      </c>
      <c r="AC133">
        <f t="shared" si="9"/>
        <v>0</v>
      </c>
      <c r="AD133" t="str">
        <f t="shared" si="10"/>
        <v>Kirishimayama:Jan 2010-Apr 2011</v>
      </c>
      <c r="AE133" t="s">
        <v>202</v>
      </c>
      <c r="AF133" t="s">
        <v>222</v>
      </c>
    </row>
    <row r="134" spans="1:32" x14ac:dyDescent="0.2">
      <c r="A134">
        <v>311020</v>
      </c>
      <c r="B134" t="s">
        <v>210</v>
      </c>
      <c r="C134" s="32"/>
      <c r="D134" s="8" t="s">
        <v>139</v>
      </c>
      <c r="E134" s="8" t="s">
        <v>151</v>
      </c>
      <c r="F134">
        <v>2</v>
      </c>
      <c r="I134">
        <v>2</v>
      </c>
      <c r="K134">
        <v>3</v>
      </c>
      <c r="L134" s="32">
        <v>1</v>
      </c>
      <c r="M134">
        <v>0.7</v>
      </c>
      <c r="N134">
        <v>1.1000000000000001</v>
      </c>
      <c r="O134">
        <v>3</v>
      </c>
      <c r="Q134" s="34">
        <v>1</v>
      </c>
      <c r="T134" s="16" t="s">
        <v>234</v>
      </c>
      <c r="U134" s="16" t="s">
        <v>249</v>
      </c>
      <c r="V134" s="16" t="s">
        <v>250</v>
      </c>
      <c r="W134" s="27" t="s">
        <v>554</v>
      </c>
      <c r="X134" s="27" t="s">
        <v>294</v>
      </c>
      <c r="Y134" t="s">
        <v>290</v>
      </c>
      <c r="Z134" t="s">
        <v>307</v>
      </c>
      <c r="AA134" s="15">
        <f>-1*C134</f>
        <v>0</v>
      </c>
      <c r="AB134" s="42"/>
      <c r="AC134">
        <f t="shared" si="9"/>
        <v>0</v>
      </c>
      <c r="AD134" t="str">
        <f t="shared" si="10"/>
        <v>Kiska:2006-2008</v>
      </c>
      <c r="AE134" t="s">
        <v>202</v>
      </c>
      <c r="AF134" t="s">
        <v>222</v>
      </c>
    </row>
    <row r="135" spans="1:32" x14ac:dyDescent="0.2">
      <c r="A135">
        <v>311020</v>
      </c>
      <c r="B135" t="s">
        <v>210</v>
      </c>
      <c r="C135" s="32"/>
      <c r="D135" s="8" t="s">
        <v>164</v>
      </c>
      <c r="E135" s="8" t="s">
        <v>139</v>
      </c>
      <c r="F135">
        <v>1</v>
      </c>
      <c r="I135">
        <v>2</v>
      </c>
      <c r="K135">
        <v>3</v>
      </c>
      <c r="L135" s="32">
        <v>1</v>
      </c>
      <c r="M135">
        <v>0.7</v>
      </c>
      <c r="N135">
        <v>1</v>
      </c>
      <c r="O135">
        <v>4</v>
      </c>
      <c r="Q135" s="34">
        <v>1</v>
      </c>
      <c r="T135" s="16" t="s">
        <v>234</v>
      </c>
      <c r="U135" s="16" t="s">
        <v>249</v>
      </c>
      <c r="V135" s="16" t="s">
        <v>250</v>
      </c>
      <c r="W135" s="27" t="s">
        <v>554</v>
      </c>
      <c r="X135" s="27" t="s">
        <v>293</v>
      </c>
      <c r="Y135" t="s">
        <v>293</v>
      </c>
      <c r="Z135" t="s">
        <v>307</v>
      </c>
      <c r="AA135" s="32"/>
      <c r="AB135">
        <v>4</v>
      </c>
      <c r="AC135">
        <f t="shared" si="9"/>
        <v>0</v>
      </c>
      <c r="AD135" t="str">
        <f t="shared" si="10"/>
        <v>Kiska:2005-2006</v>
      </c>
      <c r="AE135" t="s">
        <v>202</v>
      </c>
      <c r="AF135" t="s">
        <v>222</v>
      </c>
    </row>
    <row r="136" spans="1:32" x14ac:dyDescent="0.2">
      <c r="A136">
        <v>311020</v>
      </c>
      <c r="B136" t="s">
        <v>210</v>
      </c>
      <c r="C136" s="32"/>
      <c r="D136" s="8" t="s">
        <v>133</v>
      </c>
      <c r="E136" s="8" t="s">
        <v>196</v>
      </c>
      <c r="F136">
        <v>2</v>
      </c>
      <c r="I136">
        <v>2</v>
      </c>
      <c r="K136">
        <v>3</v>
      </c>
      <c r="L136" s="32">
        <v>1</v>
      </c>
      <c r="M136">
        <v>0.7</v>
      </c>
      <c r="N136">
        <v>1</v>
      </c>
      <c r="O136">
        <v>9</v>
      </c>
      <c r="Q136" s="34">
        <v>1</v>
      </c>
      <c r="T136" s="16" t="s">
        <v>234</v>
      </c>
      <c r="U136" s="16" t="s">
        <v>249</v>
      </c>
      <c r="V136" s="16" t="s">
        <v>250</v>
      </c>
      <c r="W136" s="27" t="s">
        <v>554</v>
      </c>
      <c r="X136" s="27" t="s">
        <v>294</v>
      </c>
      <c r="Y136" t="s">
        <v>290</v>
      </c>
      <c r="Z136" t="s">
        <v>307</v>
      </c>
      <c r="AA136" s="15">
        <f>-1*C136</f>
        <v>0</v>
      </c>
      <c r="AB136" s="42"/>
      <c r="AC136">
        <f t="shared" si="9"/>
        <v>0</v>
      </c>
      <c r="AD136" t="str">
        <f t="shared" si="10"/>
        <v>Kiska:1999-2001</v>
      </c>
      <c r="AE136" t="s">
        <v>202</v>
      </c>
      <c r="AF136" t="s">
        <v>222</v>
      </c>
    </row>
    <row r="137" spans="1:32" x14ac:dyDescent="0.2">
      <c r="A137">
        <v>283020</v>
      </c>
      <c r="B137" s="29" t="s">
        <v>30</v>
      </c>
      <c r="C137" s="18">
        <v>-1.2</v>
      </c>
      <c r="D137" s="2"/>
      <c r="E137" s="2"/>
      <c r="F137" s="2" t="s">
        <v>32</v>
      </c>
      <c r="G137" s="2" t="s">
        <v>7</v>
      </c>
      <c r="H137" s="2">
        <v>8.5</v>
      </c>
      <c r="K137" s="2" t="s">
        <v>31</v>
      </c>
      <c r="L137" s="2"/>
      <c r="M137" s="2"/>
      <c r="N137" s="2"/>
      <c r="O137" s="2"/>
      <c r="P137" s="2">
        <v>8.5</v>
      </c>
      <c r="Q137" s="23">
        <v>1</v>
      </c>
      <c r="S137" s="16" t="s">
        <v>275</v>
      </c>
      <c r="T137" s="26" t="s">
        <v>235</v>
      </c>
      <c r="U137" s="26" t="s">
        <v>252</v>
      </c>
      <c r="V137" s="26" t="s">
        <v>250</v>
      </c>
      <c r="W137" s="26"/>
      <c r="X137" s="26" t="s">
        <v>294</v>
      </c>
      <c r="Y137" s="26"/>
      <c r="Z137" s="26" t="s">
        <v>563</v>
      </c>
      <c r="AA137" s="18">
        <v>-1.2</v>
      </c>
      <c r="AB137" s="2"/>
      <c r="AC137">
        <f t="shared" si="9"/>
        <v>1.2</v>
      </c>
      <c r="AD137" t="str">
        <f t="shared" si="10"/>
        <v>Kone:-</v>
      </c>
      <c r="AE137" t="s">
        <v>40</v>
      </c>
    </row>
    <row r="138" spans="1:32" x14ac:dyDescent="0.2">
      <c r="A138">
        <v>373080</v>
      </c>
      <c r="B138" t="s">
        <v>55</v>
      </c>
      <c r="C138" s="32"/>
      <c r="D138" s="8" t="s">
        <v>418</v>
      </c>
      <c r="E138" s="8" t="s">
        <v>400</v>
      </c>
      <c r="F138">
        <v>6</v>
      </c>
      <c r="I138">
        <v>30</v>
      </c>
      <c r="K138">
        <v>707</v>
      </c>
      <c r="L138" s="32">
        <v>1</v>
      </c>
      <c r="M138">
        <v>21</v>
      </c>
      <c r="N138">
        <v>21</v>
      </c>
      <c r="O138">
        <v>8</v>
      </c>
      <c r="Q138" s="34">
        <v>2</v>
      </c>
      <c r="T138" s="26" t="s">
        <v>233</v>
      </c>
      <c r="U138" s="26" t="s">
        <v>258</v>
      </c>
      <c r="V138" s="26" t="s">
        <v>251</v>
      </c>
      <c r="W138" s="27" t="s">
        <v>554</v>
      </c>
      <c r="X138" s="27" t="s">
        <v>293</v>
      </c>
      <c r="Y138" t="s">
        <v>286</v>
      </c>
      <c r="Z138" t="s">
        <v>299</v>
      </c>
      <c r="AA138" s="32"/>
      <c r="AB138">
        <v>8</v>
      </c>
      <c r="AC138">
        <f t="shared" si="9"/>
        <v>0</v>
      </c>
      <c r="AD138" t="str">
        <f t="shared" si="10"/>
        <v>Krafla:1993-1999</v>
      </c>
      <c r="AE138" t="s">
        <v>202</v>
      </c>
      <c r="AF138" t="s">
        <v>222</v>
      </c>
    </row>
    <row r="139" spans="1:32" x14ac:dyDescent="0.2">
      <c r="A139">
        <v>373080</v>
      </c>
      <c r="B139" s="8" t="s">
        <v>55</v>
      </c>
      <c r="C139" s="15">
        <v>2.4</v>
      </c>
      <c r="D139" s="8" t="s">
        <v>136</v>
      </c>
      <c r="E139" s="8" t="s">
        <v>187</v>
      </c>
      <c r="F139" s="19">
        <v>3</v>
      </c>
      <c r="I139" s="10">
        <v>10</v>
      </c>
      <c r="J139" s="10">
        <f>K139/(I139*PI())</f>
        <v>2.5146481008519466</v>
      </c>
      <c r="K139" s="15">
        <v>79</v>
      </c>
      <c r="L139" s="32">
        <v>1</v>
      </c>
      <c r="M139">
        <v>3</v>
      </c>
      <c r="N139">
        <v>3</v>
      </c>
      <c r="O139" s="42">
        <f>C139*F139</f>
        <v>7.1999999999999993</v>
      </c>
      <c r="Q139" s="22">
        <v>2</v>
      </c>
      <c r="S139" s="16" t="s">
        <v>281</v>
      </c>
      <c r="T139" s="26" t="s">
        <v>233</v>
      </c>
      <c r="U139" s="26" t="s">
        <v>258</v>
      </c>
      <c r="V139" s="26" t="s">
        <v>251</v>
      </c>
      <c r="W139" s="26"/>
      <c r="X139" s="27" t="s">
        <v>294</v>
      </c>
      <c r="Y139" t="s">
        <v>287</v>
      </c>
      <c r="Z139" t="s">
        <v>299</v>
      </c>
      <c r="AA139" s="15">
        <f>-1*C139</f>
        <v>-2.4</v>
      </c>
      <c r="AB139" s="42"/>
      <c r="AC139">
        <f t="shared" si="9"/>
        <v>2.4</v>
      </c>
      <c r="AD139" t="str">
        <f t="shared" si="10"/>
        <v>Krafla:1992-1995</v>
      </c>
      <c r="AE139" t="s">
        <v>202</v>
      </c>
      <c r="AF139" t="s">
        <v>222</v>
      </c>
    </row>
    <row r="140" spans="1:32" x14ac:dyDescent="0.2">
      <c r="A140">
        <v>282120</v>
      </c>
      <c r="B140" t="s">
        <v>330</v>
      </c>
      <c r="C140" s="32"/>
      <c r="D140" s="8" t="s">
        <v>392</v>
      </c>
      <c r="E140" s="8" t="s">
        <v>420</v>
      </c>
      <c r="F140">
        <v>2.0493150684931507</v>
      </c>
      <c r="I140">
        <v>3</v>
      </c>
      <c r="K140">
        <v>7</v>
      </c>
      <c r="L140" s="32">
        <v>1</v>
      </c>
      <c r="O140">
        <v>12</v>
      </c>
      <c r="Q140" s="34">
        <v>2</v>
      </c>
      <c r="T140" s="46" t="s">
        <v>236</v>
      </c>
      <c r="U140" s="46" t="s">
        <v>252</v>
      </c>
      <c r="V140" s="46" t="s">
        <v>250</v>
      </c>
      <c r="W140" s="27" t="s">
        <v>554</v>
      </c>
      <c r="X140" s="27" t="s">
        <v>294</v>
      </c>
      <c r="Y140" t="s">
        <v>290</v>
      </c>
      <c r="AA140" s="15">
        <f>-1*C140</f>
        <v>0</v>
      </c>
      <c r="AB140" s="42"/>
      <c r="AC140">
        <f t="shared" si="9"/>
        <v>0</v>
      </c>
      <c r="AD140" t="str">
        <f t="shared" si="10"/>
        <v>Kujusan:3 Nov 1995-20 Nov 1997</v>
      </c>
      <c r="AE140" t="s">
        <v>202</v>
      </c>
      <c r="AF140" t="s">
        <v>222</v>
      </c>
    </row>
    <row r="141" spans="1:32" x14ac:dyDescent="0.2">
      <c r="A141">
        <v>282120</v>
      </c>
      <c r="B141" t="s">
        <v>330</v>
      </c>
      <c r="C141" s="32"/>
      <c r="D141" s="8" t="s">
        <v>419</v>
      </c>
      <c r="E141" s="8" t="s">
        <v>392</v>
      </c>
      <c r="F141">
        <v>0.12054794520547946</v>
      </c>
      <c r="O141">
        <v>6</v>
      </c>
      <c r="Q141" s="34">
        <v>2</v>
      </c>
      <c r="T141" s="46" t="s">
        <v>236</v>
      </c>
      <c r="U141" s="46" t="s">
        <v>252</v>
      </c>
      <c r="V141" s="46" t="s">
        <v>250</v>
      </c>
      <c r="W141" s="27" t="s">
        <v>554</v>
      </c>
      <c r="X141" s="27" t="s">
        <v>293</v>
      </c>
      <c r="Y141" t="s">
        <v>293</v>
      </c>
      <c r="Z141" t="s">
        <v>297</v>
      </c>
      <c r="AA141" s="32"/>
      <c r="AB141">
        <v>6</v>
      </c>
      <c r="AC141">
        <f t="shared" ref="AC141:AC172" si="11">ABS(C141)</f>
        <v>0</v>
      </c>
      <c r="AD141" t="str">
        <f t="shared" si="10"/>
        <v>Kujusan:20 Sep 1995-3 Nov 1995</v>
      </c>
      <c r="AE141" t="s">
        <v>202</v>
      </c>
      <c r="AF141" t="s">
        <v>222</v>
      </c>
    </row>
    <row r="142" spans="1:32" x14ac:dyDescent="0.2">
      <c r="A142">
        <v>312060</v>
      </c>
      <c r="B142" s="8" t="s">
        <v>90</v>
      </c>
      <c r="C142" s="15">
        <v>0.5</v>
      </c>
      <c r="D142" s="8" t="s">
        <v>136</v>
      </c>
      <c r="E142" s="8" t="s">
        <v>182</v>
      </c>
      <c r="F142" s="19">
        <v>18</v>
      </c>
      <c r="I142">
        <v>16</v>
      </c>
      <c r="J142" s="10">
        <f>K142/(I142*PI())</f>
        <v>3.9987679451838707</v>
      </c>
      <c r="K142" s="15">
        <v>201</v>
      </c>
      <c r="L142" s="32">
        <v>1</v>
      </c>
      <c r="M142">
        <v>2.7</v>
      </c>
      <c r="N142">
        <v>2.8</v>
      </c>
      <c r="O142" s="42">
        <f>C142*F142</f>
        <v>9</v>
      </c>
      <c r="Q142" s="22">
        <v>1</v>
      </c>
      <c r="S142" s="16" t="s">
        <v>248</v>
      </c>
      <c r="T142" s="26" t="s">
        <v>234</v>
      </c>
      <c r="U142" s="26" t="s">
        <v>252</v>
      </c>
      <c r="V142" s="26" t="s">
        <v>250</v>
      </c>
      <c r="W142" s="26"/>
      <c r="X142" s="27" t="s">
        <v>294</v>
      </c>
      <c r="Y142" t="s">
        <v>290</v>
      </c>
      <c r="Z142" t="s">
        <v>304</v>
      </c>
      <c r="AA142" s="15">
        <f>-1*C142</f>
        <v>-0.5</v>
      </c>
      <c r="AB142" s="42"/>
      <c r="AC142">
        <f t="shared" si="11"/>
        <v>0.5</v>
      </c>
      <c r="AD142" t="str">
        <f t="shared" si="10"/>
        <v>Kupreanof:1992-2010</v>
      </c>
      <c r="AE142" t="s">
        <v>202</v>
      </c>
      <c r="AF142" t="s">
        <v>222</v>
      </c>
    </row>
    <row r="143" spans="1:32" x14ac:dyDescent="0.2">
      <c r="A143">
        <v>312060</v>
      </c>
      <c r="B143" t="s">
        <v>90</v>
      </c>
      <c r="C143" s="32">
        <f>O143/F143</f>
        <v>5</v>
      </c>
      <c r="D143" s="8" t="s">
        <v>440</v>
      </c>
      <c r="E143" s="8" t="s">
        <v>513</v>
      </c>
      <c r="F143">
        <v>1</v>
      </c>
      <c r="I143">
        <v>16</v>
      </c>
      <c r="K143">
        <v>201</v>
      </c>
      <c r="L143" s="32">
        <v>1</v>
      </c>
      <c r="M143">
        <v>2.7</v>
      </c>
      <c r="N143">
        <v>2.8</v>
      </c>
      <c r="O143">
        <v>5</v>
      </c>
      <c r="Q143" s="34">
        <v>1</v>
      </c>
      <c r="T143" s="26" t="s">
        <v>234</v>
      </c>
      <c r="U143" s="26" t="s">
        <v>252</v>
      </c>
      <c r="V143" s="26" t="s">
        <v>250</v>
      </c>
      <c r="W143" s="27" t="s">
        <v>554</v>
      </c>
      <c r="X143" s="27" t="s">
        <v>293</v>
      </c>
      <c r="Y143" t="s">
        <v>293</v>
      </c>
      <c r="Z143" t="s">
        <v>299</v>
      </c>
      <c r="AA143" s="32"/>
      <c r="AB143">
        <v>5</v>
      </c>
      <c r="AC143">
        <f t="shared" si="11"/>
        <v>5</v>
      </c>
      <c r="AD143" t="str">
        <f t="shared" si="10"/>
        <v>Kupreanof:2002-2003</v>
      </c>
      <c r="AE143" t="s">
        <v>202</v>
      </c>
      <c r="AF143" t="s">
        <v>222</v>
      </c>
    </row>
    <row r="144" spans="1:32" x14ac:dyDescent="0.2">
      <c r="A144">
        <v>373050</v>
      </c>
      <c r="B144" t="s">
        <v>347</v>
      </c>
      <c r="C144" s="32"/>
      <c r="D144" s="8" t="s">
        <v>514</v>
      </c>
      <c r="E144" s="8" t="s">
        <v>404</v>
      </c>
      <c r="F144">
        <v>1.1643835616438356</v>
      </c>
      <c r="I144">
        <v>35</v>
      </c>
      <c r="L144" s="32">
        <v>1</v>
      </c>
      <c r="M144">
        <v>11</v>
      </c>
      <c r="N144">
        <v>18</v>
      </c>
      <c r="O144">
        <v>6</v>
      </c>
      <c r="Q144" s="34">
        <v>1</v>
      </c>
      <c r="T144" s="16" t="s">
        <v>234</v>
      </c>
      <c r="U144" s="16" t="s">
        <v>258</v>
      </c>
      <c r="V144" s="16" t="s">
        <v>251</v>
      </c>
      <c r="W144" s="27" t="s">
        <v>554</v>
      </c>
      <c r="X144" s="27" t="s">
        <v>293</v>
      </c>
      <c r="Y144" t="s">
        <v>286</v>
      </c>
      <c r="Z144" t="s">
        <v>299</v>
      </c>
      <c r="AA144" s="32"/>
      <c r="AB144">
        <v>6</v>
      </c>
      <c r="AC144">
        <f t="shared" si="11"/>
        <v>0</v>
      </c>
      <c r="AD144" t="str">
        <f t="shared" si="10"/>
        <v>Kverkfjoll (Upptyppingar):Feb 2007-Apr 2008</v>
      </c>
      <c r="AE144" t="s">
        <v>202</v>
      </c>
      <c r="AF144" t="s">
        <v>222</v>
      </c>
    </row>
    <row r="145" spans="1:42" x14ac:dyDescent="0.2">
      <c r="A145">
        <v>383010</v>
      </c>
      <c r="B145" s="8" t="s">
        <v>91</v>
      </c>
      <c r="C145" s="15">
        <v>0.5</v>
      </c>
      <c r="D145" s="8" t="s">
        <v>136</v>
      </c>
      <c r="E145" s="8" t="s">
        <v>151</v>
      </c>
      <c r="F145" s="19">
        <v>16</v>
      </c>
      <c r="J145" s="10"/>
      <c r="O145" s="45">
        <f>C145*F145</f>
        <v>8</v>
      </c>
      <c r="Q145" s="22">
        <v>1</v>
      </c>
      <c r="S145" s="16" t="s">
        <v>282</v>
      </c>
      <c r="T145" s="26" t="s">
        <v>236</v>
      </c>
      <c r="U145" s="26" t="s">
        <v>257</v>
      </c>
      <c r="V145" s="26" t="s">
        <v>259</v>
      </c>
      <c r="W145" s="26"/>
      <c r="X145" s="27" t="s">
        <v>294</v>
      </c>
      <c r="Y145" t="s">
        <v>290</v>
      </c>
      <c r="Z145" t="s">
        <v>316</v>
      </c>
      <c r="AA145" s="15">
        <f t="shared" ref="AA145:AA151" si="12">-1*C145</f>
        <v>-0.5</v>
      </c>
      <c r="AB145" s="42"/>
      <c r="AC145">
        <f t="shared" si="11"/>
        <v>0.5</v>
      </c>
      <c r="AD145" t="str">
        <f t="shared" si="10"/>
        <v>La Palma (Teneguia):1992-2008</v>
      </c>
      <c r="AE145" t="s">
        <v>202</v>
      </c>
      <c r="AF145" t="s">
        <v>222</v>
      </c>
    </row>
    <row r="146" spans="1:42" x14ac:dyDescent="0.2">
      <c r="A146">
        <v>383010</v>
      </c>
      <c r="B146" s="8" t="s">
        <v>91</v>
      </c>
      <c r="C146" s="15">
        <v>0.8</v>
      </c>
      <c r="D146" s="8" t="s">
        <v>136</v>
      </c>
      <c r="E146" s="8" t="s">
        <v>156</v>
      </c>
      <c r="F146" s="19">
        <v>8</v>
      </c>
      <c r="J146" s="10"/>
      <c r="O146" s="45">
        <f>C146*F146</f>
        <v>6.4</v>
      </c>
      <c r="Q146" s="22">
        <v>1</v>
      </c>
      <c r="S146" s="16" t="s">
        <v>282</v>
      </c>
      <c r="T146" s="26" t="s">
        <v>236</v>
      </c>
      <c r="U146" s="26" t="s">
        <v>257</v>
      </c>
      <c r="V146" s="26" t="s">
        <v>259</v>
      </c>
      <c r="W146" s="26"/>
      <c r="X146" s="27" t="s">
        <v>294</v>
      </c>
      <c r="Y146" t="s">
        <v>290</v>
      </c>
      <c r="Z146" t="s">
        <v>307</v>
      </c>
      <c r="AA146" s="15">
        <f t="shared" si="12"/>
        <v>-0.8</v>
      </c>
      <c r="AB146" s="42"/>
      <c r="AC146">
        <f t="shared" si="11"/>
        <v>0.8</v>
      </c>
      <c r="AD146" t="str">
        <f t="shared" si="10"/>
        <v>La Palma (Teneguia):1992-2000</v>
      </c>
      <c r="AE146" t="s">
        <v>202</v>
      </c>
      <c r="AF146" t="s">
        <v>222</v>
      </c>
    </row>
    <row r="147" spans="1:42" x14ac:dyDescent="0.2">
      <c r="A147">
        <v>383060</v>
      </c>
      <c r="B147" s="8" t="s">
        <v>92</v>
      </c>
      <c r="C147" s="15">
        <v>0.4</v>
      </c>
      <c r="D147" s="8" t="s">
        <v>136</v>
      </c>
      <c r="E147" s="8" t="s">
        <v>156</v>
      </c>
      <c r="F147" s="19">
        <v>8</v>
      </c>
      <c r="I147">
        <v>3</v>
      </c>
      <c r="J147" s="10">
        <f>K147/(I147*PI())</f>
        <v>0.74272306776217822</v>
      </c>
      <c r="K147" s="15">
        <v>7</v>
      </c>
      <c r="L147" s="32">
        <v>1</v>
      </c>
      <c r="M147">
        <v>4</v>
      </c>
      <c r="N147">
        <v>4</v>
      </c>
      <c r="O147" s="42">
        <f>C147*F147</f>
        <v>3.2</v>
      </c>
      <c r="Q147" s="22">
        <v>1</v>
      </c>
      <c r="S147" s="16" t="s">
        <v>282</v>
      </c>
      <c r="T147" s="26" t="s">
        <v>240</v>
      </c>
      <c r="U147" s="26" t="s">
        <v>262</v>
      </c>
      <c r="V147" s="26" t="s">
        <v>251</v>
      </c>
      <c r="W147" s="26"/>
      <c r="X147" s="27" t="s">
        <v>294</v>
      </c>
      <c r="Y147" t="s">
        <v>290</v>
      </c>
      <c r="Z147" s="26" t="s">
        <v>563</v>
      </c>
      <c r="AA147" s="15">
        <f t="shared" si="12"/>
        <v>-0.4</v>
      </c>
      <c r="AB147" s="42"/>
      <c r="AC147">
        <f t="shared" si="11"/>
        <v>0.4</v>
      </c>
      <c r="AD147" t="str">
        <f t="shared" si="10"/>
        <v>Lanzarote:1992-2000</v>
      </c>
      <c r="AE147" t="s">
        <v>202</v>
      </c>
      <c r="AF147" t="s">
        <v>222</v>
      </c>
    </row>
    <row r="148" spans="1:42" x14ac:dyDescent="0.2">
      <c r="A148">
        <v>383060</v>
      </c>
      <c r="B148" s="8" t="s">
        <v>92</v>
      </c>
      <c r="C148" s="15">
        <v>0.6</v>
      </c>
      <c r="D148" s="8" t="s">
        <v>136</v>
      </c>
      <c r="E148" s="8" t="s">
        <v>156</v>
      </c>
      <c r="F148" s="19">
        <v>8</v>
      </c>
      <c r="I148">
        <v>3</v>
      </c>
      <c r="J148" s="10">
        <f>K148/(I148*PI())</f>
        <v>0.74272306776217822</v>
      </c>
      <c r="K148" s="15">
        <v>7</v>
      </c>
      <c r="L148" s="32">
        <v>1</v>
      </c>
      <c r="M148">
        <v>4</v>
      </c>
      <c r="N148">
        <v>4</v>
      </c>
      <c r="O148" s="42">
        <f>C148*F148</f>
        <v>4.8</v>
      </c>
      <c r="Q148" s="22">
        <v>1</v>
      </c>
      <c r="S148" s="16" t="s">
        <v>282</v>
      </c>
      <c r="T148" s="26" t="s">
        <v>240</v>
      </c>
      <c r="U148" s="26" t="s">
        <v>262</v>
      </c>
      <c r="V148" s="26" t="s">
        <v>251</v>
      </c>
      <c r="W148" s="26"/>
      <c r="X148" s="27" t="s">
        <v>294</v>
      </c>
      <c r="Y148" t="s">
        <v>290</v>
      </c>
      <c r="Z148" t="s">
        <v>299</v>
      </c>
      <c r="AA148" s="15">
        <f t="shared" si="12"/>
        <v>-0.6</v>
      </c>
      <c r="AB148" s="42"/>
      <c r="AC148">
        <f t="shared" si="11"/>
        <v>0.6</v>
      </c>
      <c r="AD148" t="str">
        <f t="shared" si="10"/>
        <v>Lanzarote:1992-2000</v>
      </c>
      <c r="AE148" t="s">
        <v>202</v>
      </c>
      <c r="AF148" t="s">
        <v>222</v>
      </c>
    </row>
    <row r="149" spans="1:42" x14ac:dyDescent="0.2">
      <c r="A149">
        <v>355100</v>
      </c>
      <c r="B149" t="s">
        <v>331</v>
      </c>
      <c r="C149" s="32"/>
      <c r="D149" s="8" t="s">
        <v>423</v>
      </c>
      <c r="E149" s="8" t="s">
        <v>424</v>
      </c>
      <c r="F149">
        <v>16.027397260273972</v>
      </c>
      <c r="O149">
        <v>12</v>
      </c>
      <c r="Q149" s="34">
        <v>2</v>
      </c>
      <c r="T149" s="46" t="s">
        <v>236</v>
      </c>
      <c r="U149" s="46" t="s">
        <v>252</v>
      </c>
      <c r="V149" s="46" t="s">
        <v>250</v>
      </c>
      <c r="W149" s="27" t="s">
        <v>554</v>
      </c>
      <c r="X149" s="27" t="s">
        <v>294</v>
      </c>
      <c r="Y149" t="s">
        <v>290</v>
      </c>
      <c r="Z149" t="s">
        <v>308</v>
      </c>
      <c r="AA149" s="15">
        <f t="shared" si="12"/>
        <v>0</v>
      </c>
      <c r="AB149" s="42"/>
      <c r="AC149">
        <f t="shared" si="11"/>
        <v>0</v>
      </c>
      <c r="AD149" t="str">
        <f t="shared" si="10"/>
        <v>Láscar:20 Apr 1993-26 Apr 2009</v>
      </c>
      <c r="AE149" t="s">
        <v>202</v>
      </c>
      <c r="AF149" t="s">
        <v>222</v>
      </c>
    </row>
    <row r="150" spans="1:42" x14ac:dyDescent="0.2">
      <c r="A150">
        <v>355100</v>
      </c>
      <c r="B150" t="s">
        <v>331</v>
      </c>
      <c r="C150" s="32"/>
      <c r="D150" s="8" t="s">
        <v>421</v>
      </c>
      <c r="E150" s="8" t="s">
        <v>422</v>
      </c>
      <c r="F150">
        <v>0.19178082191780821</v>
      </c>
      <c r="I150">
        <v>0.5</v>
      </c>
      <c r="K150">
        <f>0.5*0.4</f>
        <v>0.2</v>
      </c>
      <c r="L150" s="32">
        <v>1</v>
      </c>
      <c r="O150">
        <v>1.7</v>
      </c>
      <c r="Q150" s="34">
        <v>2</v>
      </c>
      <c r="T150" s="46" t="s">
        <v>236</v>
      </c>
      <c r="U150" s="46" t="s">
        <v>252</v>
      </c>
      <c r="V150" s="46" t="s">
        <v>250</v>
      </c>
      <c r="W150" s="27" t="s">
        <v>554</v>
      </c>
      <c r="X150" s="27" t="s">
        <v>294</v>
      </c>
      <c r="Y150" t="s">
        <v>290</v>
      </c>
      <c r="Z150" t="s">
        <v>297</v>
      </c>
      <c r="AA150" s="15">
        <f t="shared" si="12"/>
        <v>0</v>
      </c>
      <c r="AB150" s="42"/>
      <c r="AC150">
        <f t="shared" si="11"/>
        <v>0</v>
      </c>
      <c r="AD150" t="str">
        <f t="shared" si="10"/>
        <v>Láscar:8 Jul 1995-16 Sep 1995</v>
      </c>
      <c r="AE150" t="s">
        <v>202</v>
      </c>
      <c r="AF150" t="s">
        <v>222</v>
      </c>
    </row>
    <row r="151" spans="1:42" x14ac:dyDescent="0.2">
      <c r="A151">
        <v>323080</v>
      </c>
      <c r="B151" s="8" t="s">
        <v>93</v>
      </c>
      <c r="C151" s="15">
        <v>1</v>
      </c>
      <c r="D151" s="8" t="s">
        <v>136</v>
      </c>
      <c r="E151" s="8" t="s">
        <v>182</v>
      </c>
      <c r="F151" s="19">
        <v>18</v>
      </c>
      <c r="H151">
        <v>5</v>
      </c>
      <c r="I151">
        <v>40</v>
      </c>
      <c r="J151" s="10">
        <f>K151/(I151*PI())</f>
        <v>10.002888173325623</v>
      </c>
      <c r="K151" s="15">
        <v>1257</v>
      </c>
      <c r="L151" s="32">
        <v>1</v>
      </c>
      <c r="M151">
        <v>8</v>
      </c>
      <c r="N151">
        <v>8</v>
      </c>
      <c r="O151" s="42">
        <f>C151*F151</f>
        <v>18</v>
      </c>
      <c r="Q151" s="22">
        <v>1</v>
      </c>
      <c r="S151" s="16" t="s">
        <v>277</v>
      </c>
      <c r="T151" s="26" t="s">
        <v>234</v>
      </c>
      <c r="U151" s="26" t="s">
        <v>252</v>
      </c>
      <c r="V151" s="26" t="s">
        <v>250</v>
      </c>
      <c r="W151" s="26"/>
      <c r="X151" s="27" t="s">
        <v>294</v>
      </c>
      <c r="Y151" t="s">
        <v>290</v>
      </c>
      <c r="Z151" s="26" t="s">
        <v>563</v>
      </c>
      <c r="AA151" s="15">
        <f t="shared" si="12"/>
        <v>-1</v>
      </c>
      <c r="AB151" s="42"/>
      <c r="AC151">
        <f t="shared" si="11"/>
        <v>1</v>
      </c>
      <c r="AD151" t="str">
        <f t="shared" si="10"/>
        <v>Lassen Volcanic Center:1992-2010</v>
      </c>
      <c r="AE151" t="s">
        <v>202</v>
      </c>
      <c r="AF151" t="s">
        <v>222</v>
      </c>
    </row>
    <row r="152" spans="1:42" x14ac:dyDescent="0.2">
      <c r="A152">
        <v>355120</v>
      </c>
      <c r="B152" s="8" t="s">
        <v>94</v>
      </c>
      <c r="C152" s="15">
        <v>2</v>
      </c>
      <c r="D152" s="8" t="s">
        <v>156</v>
      </c>
      <c r="E152" s="8" t="s">
        <v>151</v>
      </c>
      <c r="F152" s="19">
        <v>8</v>
      </c>
      <c r="I152">
        <v>6</v>
      </c>
      <c r="J152" s="10">
        <f>K152/(I152*PI())</f>
        <v>1.4854461355243564</v>
      </c>
      <c r="K152" s="15">
        <v>28</v>
      </c>
      <c r="L152" s="32">
        <v>1</v>
      </c>
      <c r="M152">
        <v>1</v>
      </c>
      <c r="N152">
        <v>1</v>
      </c>
      <c r="O152" s="42">
        <f>C152*F152</f>
        <v>16</v>
      </c>
      <c r="Q152" s="22">
        <v>1</v>
      </c>
      <c r="S152" s="16" t="s">
        <v>279</v>
      </c>
      <c r="T152" s="26" t="s">
        <v>234</v>
      </c>
      <c r="U152" s="26" t="s">
        <v>252</v>
      </c>
      <c r="V152" s="26" t="s">
        <v>250</v>
      </c>
      <c r="W152" s="26"/>
      <c r="X152" s="27" t="s">
        <v>293</v>
      </c>
      <c r="Y152" t="s">
        <v>293</v>
      </c>
      <c r="Z152" t="s">
        <v>307</v>
      </c>
      <c r="AA152" s="15">
        <v>2</v>
      </c>
      <c r="AB152" s="42"/>
      <c r="AC152">
        <f t="shared" si="11"/>
        <v>2</v>
      </c>
      <c r="AD152" t="str">
        <f t="shared" si="10"/>
        <v>Lastarria:2000-2008</v>
      </c>
      <c r="AE152" t="s">
        <v>202</v>
      </c>
      <c r="AF152" t="s">
        <v>222</v>
      </c>
    </row>
    <row r="153" spans="1:42" x14ac:dyDescent="0.2">
      <c r="A153">
        <v>355120</v>
      </c>
      <c r="B153" s="8" t="s">
        <v>94</v>
      </c>
      <c r="C153" s="15">
        <v>3.5</v>
      </c>
      <c r="D153" s="8" t="s">
        <v>132</v>
      </c>
      <c r="E153" s="8" t="s">
        <v>163</v>
      </c>
      <c r="F153" s="19">
        <v>13</v>
      </c>
      <c r="J153" s="10"/>
      <c r="O153" s="45">
        <f>C153*F153</f>
        <v>45.5</v>
      </c>
      <c r="Q153" s="22">
        <v>1</v>
      </c>
      <c r="S153" s="16" t="s">
        <v>279</v>
      </c>
      <c r="T153" s="26" t="s">
        <v>234</v>
      </c>
      <c r="U153" s="26" t="s">
        <v>252</v>
      </c>
      <c r="V153" s="26" t="s">
        <v>250</v>
      </c>
      <c r="W153" s="26"/>
      <c r="X153" s="27" t="s">
        <v>293</v>
      </c>
      <c r="Y153" t="s">
        <v>293</v>
      </c>
      <c r="Z153" t="s">
        <v>299</v>
      </c>
      <c r="AA153" s="15">
        <v>3.5</v>
      </c>
      <c r="AB153" s="45"/>
      <c r="AC153">
        <f t="shared" si="11"/>
        <v>3.5</v>
      </c>
      <c r="AD153" t="str">
        <f t="shared" si="10"/>
        <v>Lastarria:1998-2011</v>
      </c>
      <c r="AE153" t="s">
        <v>202</v>
      </c>
      <c r="AF153" t="s">
        <v>222</v>
      </c>
    </row>
    <row r="154" spans="1:42" x14ac:dyDescent="0.2">
      <c r="A154">
        <v>222120</v>
      </c>
      <c r="B154" t="s">
        <v>332</v>
      </c>
      <c r="C154" s="32"/>
      <c r="D154" s="8" t="s">
        <v>515</v>
      </c>
      <c r="E154" s="8" t="s">
        <v>516</v>
      </c>
      <c r="F154">
        <v>0.86301369863013699</v>
      </c>
      <c r="H154">
        <v>25</v>
      </c>
      <c r="I154">
        <v>40</v>
      </c>
      <c r="K154">
        <v>1257</v>
      </c>
      <c r="L154" s="32">
        <v>1</v>
      </c>
      <c r="O154">
        <v>6</v>
      </c>
      <c r="Q154" s="34">
        <v>1</v>
      </c>
      <c r="T154" s="26" t="s">
        <v>234</v>
      </c>
      <c r="U154" s="26" t="s">
        <v>254</v>
      </c>
      <c r="V154" s="26" t="s">
        <v>572</v>
      </c>
      <c r="W154" s="27" t="s">
        <v>554</v>
      </c>
      <c r="X154" s="27" t="s">
        <v>294</v>
      </c>
      <c r="Y154" t="s">
        <v>287</v>
      </c>
      <c r="Z154" t="s">
        <v>306</v>
      </c>
      <c r="AA154" s="15">
        <f>-1*C154</f>
        <v>0</v>
      </c>
      <c r="AB154" s="42"/>
      <c r="AC154">
        <f t="shared" si="11"/>
        <v>0</v>
      </c>
      <c r="AD154" t="str">
        <f t="shared" si="10"/>
        <v>Lengai, Ol Doinyo and Gelai volcano:1 Oct 2007-11 Aug 2008</v>
      </c>
      <c r="AE154" t="s">
        <v>202</v>
      </c>
      <c r="AF154" t="s">
        <v>222</v>
      </c>
    </row>
    <row r="155" spans="1:42" x14ac:dyDescent="0.2">
      <c r="A155">
        <v>222120</v>
      </c>
      <c r="B155" t="s">
        <v>332</v>
      </c>
      <c r="C155" s="32"/>
      <c r="D155" s="8" t="s">
        <v>427</v>
      </c>
      <c r="E155" s="8" t="s">
        <v>366</v>
      </c>
      <c r="F155">
        <v>0.75068493150684934</v>
      </c>
      <c r="H155">
        <v>25</v>
      </c>
      <c r="I155">
        <v>10</v>
      </c>
      <c r="K155">
        <v>79</v>
      </c>
      <c r="L155" s="32">
        <v>1</v>
      </c>
      <c r="M155">
        <v>3</v>
      </c>
      <c r="N155">
        <v>3</v>
      </c>
      <c r="O155">
        <v>7</v>
      </c>
      <c r="Q155" s="34">
        <v>2</v>
      </c>
      <c r="T155" s="26" t="s">
        <v>234</v>
      </c>
      <c r="U155" s="26" t="s">
        <v>254</v>
      </c>
      <c r="V155" s="26" t="s">
        <v>572</v>
      </c>
      <c r="W155" s="27" t="s">
        <v>554</v>
      </c>
      <c r="X155" s="27" t="s">
        <v>294</v>
      </c>
      <c r="Y155" t="s">
        <v>287</v>
      </c>
      <c r="Z155" t="s">
        <v>297</v>
      </c>
      <c r="AA155" s="15">
        <f>-1*C155</f>
        <v>0</v>
      </c>
      <c r="AB155" s="42"/>
      <c r="AC155">
        <f t="shared" si="11"/>
        <v>0</v>
      </c>
      <c r="AD155" t="str">
        <f t="shared" si="10"/>
        <v>Lengai, Ol Doinyo and Gelai volcano:Feb 2008-Nov 2008</v>
      </c>
      <c r="AE155" t="s">
        <v>202</v>
      </c>
      <c r="AF155" t="s">
        <v>222</v>
      </c>
    </row>
    <row r="156" spans="1:42" x14ac:dyDescent="0.2">
      <c r="A156">
        <v>222120</v>
      </c>
      <c r="B156" t="s">
        <v>332</v>
      </c>
      <c r="C156" s="32"/>
      <c r="D156" s="8" t="s">
        <v>425</v>
      </c>
      <c r="E156" s="8" t="s">
        <v>426</v>
      </c>
      <c r="F156">
        <v>5.7534246575342465E-2</v>
      </c>
      <c r="H156">
        <v>25</v>
      </c>
      <c r="I156">
        <v>40</v>
      </c>
      <c r="K156">
        <v>1257</v>
      </c>
      <c r="L156" s="32">
        <v>1</v>
      </c>
      <c r="M156">
        <v>4</v>
      </c>
      <c r="N156">
        <v>8</v>
      </c>
      <c r="O156">
        <v>42</v>
      </c>
      <c r="Q156" s="34">
        <v>2</v>
      </c>
      <c r="T156" s="26" t="s">
        <v>234</v>
      </c>
      <c r="U156" s="26" t="s">
        <v>254</v>
      </c>
      <c r="V156" s="26" t="s">
        <v>572</v>
      </c>
      <c r="W156" s="27" t="s">
        <v>554</v>
      </c>
      <c r="X156" s="27" t="s">
        <v>561</v>
      </c>
      <c r="Y156" t="s">
        <v>288</v>
      </c>
      <c r="Z156" t="s">
        <v>357</v>
      </c>
      <c r="AA156" s="15">
        <f>-1*C156</f>
        <v>0</v>
      </c>
      <c r="AB156" s="42"/>
      <c r="AC156">
        <f t="shared" si="11"/>
        <v>0</v>
      </c>
      <c r="AD156" t="str">
        <f t="shared" si="10"/>
        <v>Lengai, Ol Doinyo and Gelai volcano:14 Jul 2007-4 Aug 2007</v>
      </c>
      <c r="AE156" t="s">
        <v>202</v>
      </c>
      <c r="AF156" t="s">
        <v>222</v>
      </c>
    </row>
    <row r="157" spans="1:42" s="43" customFormat="1" x14ac:dyDescent="0.2">
      <c r="A157">
        <v>357110</v>
      </c>
      <c r="B157" t="s">
        <v>221</v>
      </c>
      <c r="C157" s="32"/>
      <c r="D157" s="8" t="s">
        <v>148</v>
      </c>
      <c r="E157" s="8" t="s">
        <v>151</v>
      </c>
      <c r="F157">
        <v>1</v>
      </c>
      <c r="G157"/>
      <c r="H157"/>
      <c r="I157"/>
      <c r="J157"/>
      <c r="K157"/>
      <c r="L157"/>
      <c r="M157"/>
      <c r="N157"/>
      <c r="O157">
        <v>11</v>
      </c>
      <c r="P157"/>
      <c r="Q157" s="34">
        <v>1</v>
      </c>
      <c r="R157"/>
      <c r="S157"/>
      <c r="T157" s="16" t="s">
        <v>234</v>
      </c>
      <c r="U157" s="16" t="s">
        <v>252</v>
      </c>
      <c r="V157" s="16" t="s">
        <v>251</v>
      </c>
      <c r="W157" s="27" t="s">
        <v>554</v>
      </c>
      <c r="X157" s="27" t="s">
        <v>294</v>
      </c>
      <c r="Y157" t="s">
        <v>290</v>
      </c>
      <c r="Z157" t="s">
        <v>312</v>
      </c>
      <c r="AA157" s="15">
        <f>-1*C157</f>
        <v>0</v>
      </c>
      <c r="AB157" s="42"/>
      <c r="AC157">
        <f t="shared" si="11"/>
        <v>0</v>
      </c>
      <c r="AD157" t="str">
        <f t="shared" si="10"/>
        <v>Llaima:2007-2008</v>
      </c>
      <c r="AE157" t="s">
        <v>202</v>
      </c>
      <c r="AF157" t="s">
        <v>222</v>
      </c>
      <c r="AG157"/>
      <c r="AH157"/>
      <c r="AI157"/>
      <c r="AJ157"/>
      <c r="AK157"/>
      <c r="AL157"/>
      <c r="AM157"/>
      <c r="AN157"/>
      <c r="AO157"/>
      <c r="AP157"/>
    </row>
    <row r="158" spans="1:42" x14ac:dyDescent="0.2">
      <c r="A158">
        <v>222100</v>
      </c>
      <c r="B158" t="s">
        <v>207</v>
      </c>
      <c r="C158" s="32"/>
      <c r="D158" s="8" t="s">
        <v>517</v>
      </c>
      <c r="E158" s="8" t="s">
        <v>518</v>
      </c>
      <c r="F158">
        <v>1.726027397260274</v>
      </c>
      <c r="I158">
        <v>10</v>
      </c>
      <c r="K158">
        <v>79</v>
      </c>
      <c r="L158" s="32">
        <v>1</v>
      </c>
      <c r="M158" s="12">
        <v>3.2</v>
      </c>
      <c r="N158" s="12">
        <v>4.2</v>
      </c>
      <c r="O158">
        <v>9.1999999999999993</v>
      </c>
      <c r="Q158" s="34">
        <v>1</v>
      </c>
      <c r="T158" s="16" t="s">
        <v>234</v>
      </c>
      <c r="U158" s="16" t="s">
        <v>254</v>
      </c>
      <c r="V158" s="16" t="s">
        <v>255</v>
      </c>
      <c r="W158" s="27" t="s">
        <v>554</v>
      </c>
      <c r="X158" s="27" t="s">
        <v>293</v>
      </c>
      <c r="Y158" t="s">
        <v>286</v>
      </c>
      <c r="Z158" t="s">
        <v>304</v>
      </c>
      <c r="AA158" s="32"/>
      <c r="AB158">
        <v>9.1999999999999993</v>
      </c>
      <c r="AC158">
        <f t="shared" si="11"/>
        <v>0</v>
      </c>
      <c r="AD158" t="str">
        <f t="shared" si="10"/>
        <v>Longonot:28 Jun 2004-20 Mar 2006</v>
      </c>
      <c r="AE158" t="s">
        <v>202</v>
      </c>
      <c r="AF158" t="s">
        <v>222</v>
      </c>
    </row>
    <row r="159" spans="1:42" x14ac:dyDescent="0.2">
      <c r="A159">
        <v>357100</v>
      </c>
      <c r="B159" s="8" t="s">
        <v>56</v>
      </c>
      <c r="C159" s="15">
        <v>2</v>
      </c>
      <c r="D159" s="8" t="s">
        <v>141</v>
      </c>
      <c r="E159" s="8" t="s">
        <v>151</v>
      </c>
      <c r="F159" s="19">
        <v>6</v>
      </c>
      <c r="J159" s="10"/>
      <c r="O159" s="45">
        <f>C159*F159</f>
        <v>12</v>
      </c>
      <c r="Q159" s="22">
        <v>2</v>
      </c>
      <c r="S159" s="16" t="s">
        <v>279</v>
      </c>
      <c r="T159" s="26" t="s">
        <v>234</v>
      </c>
      <c r="U159" s="26" t="s">
        <v>252</v>
      </c>
      <c r="V159" s="26" t="s">
        <v>250</v>
      </c>
      <c r="W159" s="26"/>
      <c r="X159" s="27" t="s">
        <v>294</v>
      </c>
      <c r="Y159" t="s">
        <v>290</v>
      </c>
      <c r="Z159" t="s">
        <v>308</v>
      </c>
      <c r="AA159" s="15">
        <f>-1*C159</f>
        <v>-2</v>
      </c>
      <c r="AB159" s="42"/>
      <c r="AC159">
        <f t="shared" si="11"/>
        <v>2</v>
      </c>
      <c r="AD159" t="str">
        <f t="shared" si="10"/>
        <v>Lonquimay:2002-2008</v>
      </c>
      <c r="AE159" t="s">
        <v>202</v>
      </c>
      <c r="AF159" t="s">
        <v>222</v>
      </c>
    </row>
    <row r="160" spans="1:42" x14ac:dyDescent="0.2">
      <c r="A160">
        <v>231040</v>
      </c>
      <c r="B160" t="s">
        <v>333</v>
      </c>
      <c r="C160" s="32"/>
      <c r="D160" s="8" t="s">
        <v>428</v>
      </c>
      <c r="E160" s="8" t="s">
        <v>429</v>
      </c>
      <c r="F160">
        <v>0.1095890410958904</v>
      </c>
      <c r="I160">
        <v>28</v>
      </c>
      <c r="K160">
        <v>616</v>
      </c>
      <c r="L160" s="32">
        <v>1</v>
      </c>
      <c r="O160">
        <v>150</v>
      </c>
      <c r="Q160" s="34">
        <v>2</v>
      </c>
      <c r="T160" s="16" t="s">
        <v>573</v>
      </c>
      <c r="U160" s="16" t="s">
        <v>263</v>
      </c>
      <c r="V160" s="16" t="s">
        <v>251</v>
      </c>
      <c r="W160" s="27" t="s">
        <v>554</v>
      </c>
      <c r="X160" s="27" t="s">
        <v>561</v>
      </c>
      <c r="Y160" t="s">
        <v>291</v>
      </c>
      <c r="Z160" t="s">
        <v>297</v>
      </c>
      <c r="AA160" s="15">
        <f>-1*C160</f>
        <v>0</v>
      </c>
      <c r="AB160" s="42"/>
      <c r="AC160">
        <f t="shared" si="11"/>
        <v>0</v>
      </c>
      <c r="AD160" t="str">
        <f t="shared" si="10"/>
        <v>Lunayyir, Harrat:8 May 2009-17 Jun 2009</v>
      </c>
      <c r="AE160" t="s">
        <v>202</v>
      </c>
      <c r="AF160" t="s">
        <v>222</v>
      </c>
    </row>
    <row r="161" spans="1:42" x14ac:dyDescent="0.2">
      <c r="A161">
        <v>312150</v>
      </c>
      <c r="B161" s="8" t="s">
        <v>95</v>
      </c>
      <c r="C161" s="15">
        <v>1</v>
      </c>
      <c r="D161" s="8" t="s">
        <v>145</v>
      </c>
      <c r="E161" s="8" t="s">
        <v>182</v>
      </c>
      <c r="F161" s="19">
        <v>15</v>
      </c>
      <c r="I161">
        <v>30</v>
      </c>
      <c r="J161" s="10">
        <f>K161/(I161*PI())</f>
        <v>7.5015029843980008</v>
      </c>
      <c r="K161" s="15">
        <v>707</v>
      </c>
      <c r="L161" s="32">
        <v>1</v>
      </c>
      <c r="M161">
        <v>5</v>
      </c>
      <c r="N161">
        <v>15</v>
      </c>
      <c r="O161" s="42">
        <f>C161*F161</f>
        <v>15</v>
      </c>
      <c r="Q161" s="22">
        <v>1</v>
      </c>
      <c r="S161" s="16" t="s">
        <v>248</v>
      </c>
      <c r="T161" s="26" t="s">
        <v>234</v>
      </c>
      <c r="U161" s="26" t="s">
        <v>252</v>
      </c>
      <c r="V161" s="26" t="s">
        <v>250</v>
      </c>
      <c r="W161" s="26"/>
      <c r="X161" s="27" t="s">
        <v>293</v>
      </c>
      <c r="Y161" t="s">
        <v>293</v>
      </c>
      <c r="Z161" t="s">
        <v>299</v>
      </c>
      <c r="AA161" s="15">
        <v>1</v>
      </c>
      <c r="AB161" s="42"/>
      <c r="AC161">
        <f t="shared" si="11"/>
        <v>1</v>
      </c>
      <c r="AD161" t="str">
        <f t="shared" si="10"/>
        <v>Mageik:1995-2010</v>
      </c>
      <c r="AE161" t="s">
        <v>202</v>
      </c>
      <c r="AF161" t="s">
        <v>222</v>
      </c>
    </row>
    <row r="162" spans="1:42" s="43" customFormat="1" x14ac:dyDescent="0.2">
      <c r="A162">
        <v>311310</v>
      </c>
      <c r="B162" s="8" t="s">
        <v>96</v>
      </c>
      <c r="C162" s="15">
        <v>1</v>
      </c>
      <c r="D162" s="8" t="s">
        <v>168</v>
      </c>
      <c r="E162" s="8" t="s">
        <v>198</v>
      </c>
      <c r="F162" s="19">
        <v>4.9369863013698634</v>
      </c>
      <c r="G162"/>
      <c r="H162">
        <v>5</v>
      </c>
      <c r="I162">
        <v>22</v>
      </c>
      <c r="J162" s="10">
        <f>K162/(I162*PI())</f>
        <v>5.4980798522654757</v>
      </c>
      <c r="K162" s="15">
        <v>380</v>
      </c>
      <c r="L162" s="32">
        <v>1</v>
      </c>
      <c r="M162">
        <v>5.0999999999999996</v>
      </c>
      <c r="N162">
        <v>6.5</v>
      </c>
      <c r="O162" s="45">
        <f>C162*F162</f>
        <v>4.9369863013698634</v>
      </c>
      <c r="P162"/>
      <c r="Q162" s="22">
        <v>1</v>
      </c>
      <c r="R162"/>
      <c r="S162" s="16" t="s">
        <v>248</v>
      </c>
      <c r="T162" s="26" t="s">
        <v>234</v>
      </c>
      <c r="U162" s="26" t="s">
        <v>249</v>
      </c>
      <c r="V162" s="26" t="s">
        <v>250</v>
      </c>
      <c r="W162" s="26"/>
      <c r="X162" s="27" t="s">
        <v>294</v>
      </c>
      <c r="Y162" t="s">
        <v>290</v>
      </c>
      <c r="Z162" s="26" t="s">
        <v>563</v>
      </c>
      <c r="AA162" s="15">
        <f>-1*C162</f>
        <v>-1</v>
      </c>
      <c r="AB162" s="42"/>
      <c r="AC162">
        <f t="shared" si="11"/>
        <v>1</v>
      </c>
      <c r="AD162" t="str">
        <f t="shared" si="10"/>
        <v>Makushin:Sep 1995-7 Aug 2000</v>
      </c>
      <c r="AE162" t="s">
        <v>202</v>
      </c>
      <c r="AF162" t="s">
        <v>222</v>
      </c>
      <c r="AG162"/>
      <c r="AH162"/>
      <c r="AI162"/>
      <c r="AJ162"/>
      <c r="AK162"/>
      <c r="AL162"/>
      <c r="AM162"/>
      <c r="AN162"/>
      <c r="AO162"/>
      <c r="AP162"/>
    </row>
    <row r="163" spans="1:42" x14ac:dyDescent="0.2">
      <c r="A163">
        <v>311310</v>
      </c>
      <c r="B163" s="8" t="s">
        <v>96</v>
      </c>
      <c r="C163" s="15">
        <v>1</v>
      </c>
      <c r="D163" s="8" t="s">
        <v>135</v>
      </c>
      <c r="E163" s="8" t="s">
        <v>179</v>
      </c>
      <c r="F163" s="19">
        <v>5</v>
      </c>
      <c r="H163">
        <v>5</v>
      </c>
      <c r="I163">
        <v>5</v>
      </c>
      <c r="J163" s="10">
        <f>K163/(I163*PI())</f>
        <v>1.2732395447351628</v>
      </c>
      <c r="K163" s="15">
        <v>20</v>
      </c>
      <c r="L163" s="32">
        <v>1</v>
      </c>
      <c r="M163">
        <v>5</v>
      </c>
      <c r="N163">
        <v>6.6</v>
      </c>
      <c r="O163" s="45">
        <f>C163*F163</f>
        <v>5</v>
      </c>
      <c r="Q163" s="22">
        <v>1</v>
      </c>
      <c r="S163" s="16" t="s">
        <v>248</v>
      </c>
      <c r="T163" s="26" t="s">
        <v>234</v>
      </c>
      <c r="U163" s="26" t="s">
        <v>249</v>
      </c>
      <c r="V163" s="26" t="s">
        <v>250</v>
      </c>
      <c r="W163" s="26"/>
      <c r="X163" s="27" t="s">
        <v>294</v>
      </c>
      <c r="Y163" t="s">
        <v>290</v>
      </c>
      <c r="Z163" t="s">
        <v>304</v>
      </c>
      <c r="AA163" s="15">
        <f>-1*C163</f>
        <v>-1</v>
      </c>
      <c r="AB163" s="42"/>
      <c r="AC163">
        <f t="shared" si="11"/>
        <v>1</v>
      </c>
      <c r="AD163" t="str">
        <f t="shared" si="10"/>
        <v>Makushin:2004-2009</v>
      </c>
      <c r="AE163" t="s">
        <v>202</v>
      </c>
      <c r="AF163" t="s">
        <v>222</v>
      </c>
    </row>
    <row r="164" spans="1:42" x14ac:dyDescent="0.2">
      <c r="A164">
        <v>311310</v>
      </c>
      <c r="B164" t="s">
        <v>96</v>
      </c>
      <c r="C164" s="32"/>
      <c r="D164" s="8" t="s">
        <v>519</v>
      </c>
      <c r="E164" s="8" t="s">
        <v>430</v>
      </c>
      <c r="F164">
        <v>1.9178082191780821</v>
      </c>
      <c r="I164">
        <v>22</v>
      </c>
      <c r="K164">
        <v>380</v>
      </c>
      <c r="L164" s="32">
        <v>1</v>
      </c>
      <c r="O164">
        <v>7</v>
      </c>
      <c r="Q164" s="34">
        <v>1</v>
      </c>
      <c r="T164" s="26" t="s">
        <v>234</v>
      </c>
      <c r="U164" s="26" t="s">
        <v>249</v>
      </c>
      <c r="V164" s="26" t="s">
        <v>250</v>
      </c>
      <c r="W164" s="27" t="s">
        <v>554</v>
      </c>
      <c r="X164" s="27" t="s">
        <v>293</v>
      </c>
      <c r="Y164" t="s">
        <v>293</v>
      </c>
      <c r="Z164" t="s">
        <v>299</v>
      </c>
      <c r="AA164" s="32"/>
      <c r="AB164">
        <v>7</v>
      </c>
      <c r="AC164">
        <f t="shared" si="11"/>
        <v>0</v>
      </c>
      <c r="AD164" t="str">
        <f t="shared" si="10"/>
        <v>Makushin:Oct 1993-Sep 1995</v>
      </c>
      <c r="AE164" t="s">
        <v>202</v>
      </c>
      <c r="AF164" t="s">
        <v>222</v>
      </c>
    </row>
    <row r="165" spans="1:42" x14ac:dyDescent="0.2">
      <c r="A165">
        <v>323150</v>
      </c>
      <c r="B165" s="8" t="s">
        <v>97</v>
      </c>
      <c r="C165" s="15">
        <v>1</v>
      </c>
      <c r="D165" s="8" t="s">
        <v>167</v>
      </c>
      <c r="E165" s="8" t="s">
        <v>152</v>
      </c>
      <c r="F165" s="19">
        <v>6</v>
      </c>
      <c r="I165">
        <v>30</v>
      </c>
      <c r="J165" s="10">
        <v>25</v>
      </c>
      <c r="K165" s="39">
        <v>589</v>
      </c>
      <c r="L165">
        <f>30/25</f>
        <v>1.2</v>
      </c>
      <c r="M165">
        <v>6.6</v>
      </c>
      <c r="N165">
        <v>8.6999999999999993</v>
      </c>
      <c r="O165" s="42">
        <f>C165*F165</f>
        <v>6</v>
      </c>
      <c r="Q165" s="22">
        <v>1</v>
      </c>
      <c r="S165" s="16" t="s">
        <v>277</v>
      </c>
      <c r="T165" s="26" t="s">
        <v>243</v>
      </c>
      <c r="U165" s="26" t="s">
        <v>254</v>
      </c>
      <c r="V165" s="26" t="s">
        <v>255</v>
      </c>
      <c r="W165" s="26"/>
      <c r="X165" s="27" t="s">
        <v>293</v>
      </c>
      <c r="Y165" t="s">
        <v>293</v>
      </c>
      <c r="Z165" t="s">
        <v>299</v>
      </c>
      <c r="AA165" s="15">
        <v>1</v>
      </c>
      <c r="AB165" s="42"/>
      <c r="AC165">
        <f t="shared" si="11"/>
        <v>1</v>
      </c>
      <c r="AD165" t="str">
        <f t="shared" si="10"/>
        <v>Mammoth Mountain:1990-1996</v>
      </c>
      <c r="AE165" t="s">
        <v>202</v>
      </c>
      <c r="AF165" t="s">
        <v>222</v>
      </c>
    </row>
    <row r="166" spans="1:42" x14ac:dyDescent="0.2">
      <c r="A166" s="6">
        <v>323150</v>
      </c>
      <c r="B166" s="31" t="s">
        <v>97</v>
      </c>
      <c r="C166" s="15">
        <v>1</v>
      </c>
      <c r="D166" s="8" t="s">
        <v>141</v>
      </c>
      <c r="E166" s="8" t="s">
        <v>134</v>
      </c>
      <c r="F166" s="19">
        <v>1</v>
      </c>
      <c r="I166">
        <v>30</v>
      </c>
      <c r="J166" s="10">
        <v>25</v>
      </c>
      <c r="K166" s="39">
        <v>589</v>
      </c>
      <c r="L166">
        <f>30/25</f>
        <v>1.2</v>
      </c>
      <c r="M166">
        <v>4.5</v>
      </c>
      <c r="N166">
        <v>13.5</v>
      </c>
      <c r="O166" s="42">
        <f>C166*F166</f>
        <v>1</v>
      </c>
      <c r="Q166" s="22">
        <v>1</v>
      </c>
      <c r="S166" s="16" t="s">
        <v>277</v>
      </c>
      <c r="T166" s="26" t="s">
        <v>243</v>
      </c>
      <c r="U166" s="26" t="s">
        <v>254</v>
      </c>
      <c r="V166" s="26" t="s">
        <v>255</v>
      </c>
      <c r="W166" s="26"/>
      <c r="X166" s="27" t="s">
        <v>293</v>
      </c>
      <c r="Y166" t="s">
        <v>293</v>
      </c>
      <c r="Z166" s="26" t="s">
        <v>563</v>
      </c>
      <c r="AA166" s="15">
        <v>1</v>
      </c>
      <c r="AB166" s="42"/>
      <c r="AC166">
        <f t="shared" si="11"/>
        <v>1</v>
      </c>
      <c r="AD166" t="str">
        <f t="shared" si="10"/>
        <v>Mammoth Mountain:2002-2003</v>
      </c>
      <c r="AE166" t="s">
        <v>202</v>
      </c>
      <c r="AF166" t="s">
        <v>222</v>
      </c>
    </row>
    <row r="167" spans="1:42" x14ac:dyDescent="0.2">
      <c r="A167" s="6">
        <v>323150</v>
      </c>
      <c r="B167" s="31" t="s">
        <v>97</v>
      </c>
      <c r="C167" s="15">
        <v>1</v>
      </c>
      <c r="D167" s="8" t="s">
        <v>163</v>
      </c>
      <c r="E167" s="8" t="s">
        <v>191</v>
      </c>
      <c r="F167" s="19">
        <v>3</v>
      </c>
      <c r="I167">
        <v>30</v>
      </c>
      <c r="J167" s="10">
        <v>25</v>
      </c>
      <c r="K167" s="15">
        <v>589</v>
      </c>
      <c r="L167">
        <f>30/25</f>
        <v>1.2</v>
      </c>
      <c r="M167">
        <v>7.2</v>
      </c>
      <c r="N167">
        <v>7.2</v>
      </c>
      <c r="O167" s="42">
        <f>C167*F167</f>
        <v>3</v>
      </c>
      <c r="Q167" s="22">
        <v>1</v>
      </c>
      <c r="S167" s="16" t="s">
        <v>277</v>
      </c>
      <c r="T167" s="26" t="s">
        <v>243</v>
      </c>
      <c r="U167" s="26" t="s">
        <v>254</v>
      </c>
      <c r="V167" s="26" t="s">
        <v>255</v>
      </c>
      <c r="W167" s="26"/>
      <c r="X167" s="27" t="s">
        <v>293</v>
      </c>
      <c r="Y167" t="s">
        <v>293</v>
      </c>
      <c r="Z167" s="26" t="s">
        <v>563</v>
      </c>
      <c r="AA167" s="15">
        <v>1</v>
      </c>
      <c r="AB167" s="42"/>
      <c r="AC167">
        <f t="shared" si="11"/>
        <v>1</v>
      </c>
      <c r="AD167" t="str">
        <f t="shared" si="10"/>
        <v>Mammoth Mountain:2011-2014</v>
      </c>
      <c r="AE167" t="s">
        <v>202</v>
      </c>
      <c r="AF167" t="s">
        <v>222</v>
      </c>
    </row>
    <row r="168" spans="1:42" x14ac:dyDescent="0.2">
      <c r="A168" s="6">
        <v>323150</v>
      </c>
      <c r="B168" s="31" t="s">
        <v>97</v>
      </c>
      <c r="C168" s="15">
        <v>18</v>
      </c>
      <c r="D168" s="8" t="s">
        <v>131</v>
      </c>
      <c r="E168" s="8" t="s">
        <v>132</v>
      </c>
      <c r="F168" s="19">
        <v>1</v>
      </c>
      <c r="I168">
        <v>30</v>
      </c>
      <c r="J168" s="10">
        <v>25</v>
      </c>
      <c r="K168" s="15">
        <v>589</v>
      </c>
      <c r="L168">
        <f>30/25</f>
        <v>1.2</v>
      </c>
      <c r="M168">
        <v>6.6</v>
      </c>
      <c r="N168">
        <v>8.4</v>
      </c>
      <c r="O168" s="42">
        <f>C168*F168</f>
        <v>18</v>
      </c>
      <c r="Q168" s="22">
        <v>1</v>
      </c>
      <c r="S168" s="16" t="s">
        <v>277</v>
      </c>
      <c r="T168" s="26" t="s">
        <v>243</v>
      </c>
      <c r="U168" s="26" t="s">
        <v>254</v>
      </c>
      <c r="V168" s="26" t="s">
        <v>255</v>
      </c>
      <c r="W168" s="26"/>
      <c r="X168" s="27" t="s">
        <v>293</v>
      </c>
      <c r="Y168" t="s">
        <v>293</v>
      </c>
      <c r="Z168" s="26" t="s">
        <v>563</v>
      </c>
      <c r="AA168" s="15">
        <v>18</v>
      </c>
      <c r="AB168" s="42"/>
      <c r="AC168">
        <f t="shared" si="11"/>
        <v>18</v>
      </c>
      <c r="AD168" t="str">
        <f t="shared" si="10"/>
        <v>Mammoth Mountain:1997-1998</v>
      </c>
      <c r="AE168" t="s">
        <v>202</v>
      </c>
      <c r="AF168" t="s">
        <v>222</v>
      </c>
    </row>
    <row r="169" spans="1:42" x14ac:dyDescent="0.2">
      <c r="A169">
        <v>221115</v>
      </c>
      <c r="B169" t="s">
        <v>334</v>
      </c>
      <c r="C169" s="32"/>
      <c r="D169" s="8" t="s">
        <v>497</v>
      </c>
      <c r="E169" s="8" t="s">
        <v>498</v>
      </c>
      <c r="F169">
        <v>1.0547945205479452</v>
      </c>
      <c r="I169">
        <v>10</v>
      </c>
      <c r="K169">
        <v>79</v>
      </c>
      <c r="L169" s="32">
        <v>1</v>
      </c>
      <c r="M169">
        <v>5</v>
      </c>
      <c r="N169">
        <v>5</v>
      </c>
      <c r="O169">
        <v>12</v>
      </c>
      <c r="Q169" s="34">
        <v>1</v>
      </c>
      <c r="T169" s="26" t="s">
        <v>237</v>
      </c>
      <c r="U169" s="26" t="s">
        <v>266</v>
      </c>
      <c r="V169" s="26" t="s">
        <v>251</v>
      </c>
      <c r="W169" s="27" t="s">
        <v>554</v>
      </c>
      <c r="X169" s="27" t="s">
        <v>293</v>
      </c>
      <c r="Y169" t="s">
        <v>286</v>
      </c>
      <c r="AA169" s="32"/>
      <c r="AB169">
        <v>12</v>
      </c>
      <c r="AC169">
        <f t="shared" si="11"/>
        <v>0</v>
      </c>
      <c r="AD169" t="str">
        <f t="shared" si="10"/>
        <v>Manda Hararo:16 Apr 2004-6 May 2005</v>
      </c>
      <c r="AE169" t="s">
        <v>202</v>
      </c>
      <c r="AF169" t="s">
        <v>222</v>
      </c>
    </row>
    <row r="170" spans="1:42" x14ac:dyDescent="0.2">
      <c r="A170">
        <v>221115</v>
      </c>
      <c r="B170" t="s">
        <v>334</v>
      </c>
      <c r="C170" s="32"/>
      <c r="D170" s="8" t="s">
        <v>380</v>
      </c>
      <c r="E170" s="8" t="s">
        <v>380</v>
      </c>
      <c r="F170">
        <v>1.9178082191780823E-2</v>
      </c>
      <c r="I170">
        <v>10</v>
      </c>
      <c r="K170">
        <v>79</v>
      </c>
      <c r="L170" s="32">
        <v>1</v>
      </c>
      <c r="M170">
        <v>5</v>
      </c>
      <c r="N170">
        <v>5</v>
      </c>
      <c r="O170">
        <v>400</v>
      </c>
      <c r="Q170" s="34">
        <v>2</v>
      </c>
      <c r="T170" s="26" t="s">
        <v>237</v>
      </c>
      <c r="U170" s="26" t="s">
        <v>266</v>
      </c>
      <c r="V170" s="26" t="s">
        <v>251</v>
      </c>
      <c r="W170" s="27" t="s">
        <v>554</v>
      </c>
      <c r="X170" s="27" t="s">
        <v>561</v>
      </c>
      <c r="Y170" t="s">
        <v>288</v>
      </c>
      <c r="Z170" t="s">
        <v>297</v>
      </c>
      <c r="AA170" s="15">
        <f>-1*C170</f>
        <v>0</v>
      </c>
      <c r="AB170" s="42"/>
      <c r="AC170">
        <f t="shared" si="11"/>
        <v>0</v>
      </c>
      <c r="AD170" t="str">
        <f t="shared" si="10"/>
        <v>Manda Hararo:Sep 2005-Sep 2005</v>
      </c>
      <c r="AE170" t="s">
        <v>202</v>
      </c>
      <c r="AF170" t="s">
        <v>222</v>
      </c>
    </row>
    <row r="171" spans="1:42" x14ac:dyDescent="0.2">
      <c r="A171">
        <v>312140</v>
      </c>
      <c r="B171" s="8" t="s">
        <v>98</v>
      </c>
      <c r="C171" s="15">
        <v>1</v>
      </c>
      <c r="D171" s="8" t="s">
        <v>145</v>
      </c>
      <c r="E171" s="8" t="s">
        <v>182</v>
      </c>
      <c r="F171" s="19">
        <v>15</v>
      </c>
      <c r="J171" s="10"/>
      <c r="O171" s="45">
        <f>C171*F171</f>
        <v>15</v>
      </c>
      <c r="Q171" s="22">
        <v>1</v>
      </c>
      <c r="S171" s="16" t="s">
        <v>248</v>
      </c>
      <c r="T171" s="26" t="s">
        <v>234</v>
      </c>
      <c r="U171" s="26" t="s">
        <v>252</v>
      </c>
      <c r="V171" s="26" t="s">
        <v>253</v>
      </c>
      <c r="W171" s="26"/>
      <c r="X171" s="27" t="s">
        <v>293</v>
      </c>
      <c r="Y171" t="s">
        <v>293</v>
      </c>
      <c r="Z171" t="s">
        <v>299</v>
      </c>
      <c r="AA171" s="15">
        <v>1</v>
      </c>
      <c r="AB171" s="45"/>
      <c r="AC171">
        <f t="shared" si="11"/>
        <v>1</v>
      </c>
      <c r="AD171" t="str">
        <f t="shared" si="10"/>
        <v>Martin:1995-2010</v>
      </c>
      <c r="AE171" t="s">
        <v>202</v>
      </c>
      <c r="AF171" t="s">
        <v>222</v>
      </c>
    </row>
    <row r="172" spans="1:42" x14ac:dyDescent="0.2">
      <c r="A172" s="6">
        <v>357061</v>
      </c>
      <c r="B172" s="31" t="s">
        <v>99</v>
      </c>
      <c r="C172" s="15">
        <v>19</v>
      </c>
      <c r="D172">
        <v>2013</v>
      </c>
      <c r="E172">
        <v>2014.83</v>
      </c>
      <c r="F172" s="19">
        <v>1.8299999999999272</v>
      </c>
      <c r="I172">
        <v>12</v>
      </c>
      <c r="J172" s="10">
        <f>K172/(I172*PI())</f>
        <v>2.9974180948973621</v>
      </c>
      <c r="K172" s="15">
        <v>113</v>
      </c>
      <c r="L172" s="32">
        <v>1</v>
      </c>
      <c r="M172">
        <v>5</v>
      </c>
      <c r="N172">
        <v>8.5</v>
      </c>
      <c r="O172" s="42">
        <f>C172*F172</f>
        <v>34.769999999998618</v>
      </c>
      <c r="Q172" s="22">
        <v>1</v>
      </c>
      <c r="S172" s="16" t="s">
        <v>279</v>
      </c>
      <c r="T172" s="26" t="s">
        <v>233</v>
      </c>
      <c r="U172" s="26" t="s">
        <v>252</v>
      </c>
      <c r="V172" s="26" t="s">
        <v>250</v>
      </c>
      <c r="W172" s="26"/>
      <c r="X172" s="27" t="s">
        <v>293</v>
      </c>
      <c r="Y172" t="s">
        <v>293</v>
      </c>
      <c r="Z172" s="26" t="s">
        <v>563</v>
      </c>
      <c r="AA172" s="15">
        <v>19</v>
      </c>
      <c r="AB172" s="42"/>
      <c r="AC172">
        <f t="shared" si="11"/>
        <v>19</v>
      </c>
      <c r="AD172" t="str">
        <f t="shared" si="10"/>
        <v>Maule, Laguna del:2013-2014.83</v>
      </c>
      <c r="AE172" t="s">
        <v>202</v>
      </c>
      <c r="AF172" t="s">
        <v>222</v>
      </c>
    </row>
    <row r="173" spans="1:42" x14ac:dyDescent="0.2">
      <c r="A173">
        <v>357061</v>
      </c>
      <c r="B173" s="8" t="s">
        <v>99</v>
      </c>
      <c r="C173" s="15">
        <v>28</v>
      </c>
      <c r="D173" s="8" t="s">
        <v>148</v>
      </c>
      <c r="E173" s="8" t="s">
        <v>153</v>
      </c>
      <c r="F173" s="19">
        <v>5</v>
      </c>
      <c r="I173">
        <v>12</v>
      </c>
      <c r="J173" s="10">
        <f>K173/(I173*PI())</f>
        <v>2.9974180948973621</v>
      </c>
      <c r="K173" s="15">
        <v>113</v>
      </c>
      <c r="L173" s="32">
        <v>1</v>
      </c>
      <c r="M173">
        <v>5</v>
      </c>
      <c r="N173">
        <v>8.5</v>
      </c>
      <c r="O173" s="42">
        <f>C173*F173</f>
        <v>140</v>
      </c>
      <c r="Q173" s="22">
        <v>1</v>
      </c>
      <c r="S173" s="16" t="s">
        <v>279</v>
      </c>
      <c r="T173" s="26" t="s">
        <v>233</v>
      </c>
      <c r="U173" s="26" t="s">
        <v>252</v>
      </c>
      <c r="V173" s="26" t="s">
        <v>250</v>
      </c>
      <c r="W173" s="26"/>
      <c r="X173" s="27" t="s">
        <v>293</v>
      </c>
      <c r="Y173" t="s">
        <v>293</v>
      </c>
      <c r="Z173" t="s">
        <v>299</v>
      </c>
      <c r="AA173" s="15">
        <v>28</v>
      </c>
      <c r="AB173" s="42"/>
      <c r="AC173">
        <f t="shared" ref="AC173:AC187" si="13">ABS(C173)</f>
        <v>28</v>
      </c>
      <c r="AD173" t="str">
        <f t="shared" si="10"/>
        <v>Maule, Laguna del:2007-2012</v>
      </c>
      <c r="AE173" t="s">
        <v>202</v>
      </c>
      <c r="AF173" t="s">
        <v>222</v>
      </c>
    </row>
    <row r="174" spans="1:42" x14ac:dyDescent="0.2">
      <c r="A174">
        <v>332020</v>
      </c>
      <c r="B174" t="s">
        <v>215</v>
      </c>
      <c r="C174" s="32"/>
      <c r="D174" s="8" t="s">
        <v>440</v>
      </c>
      <c r="E174" s="8" t="s">
        <v>390</v>
      </c>
      <c r="F174">
        <v>3</v>
      </c>
      <c r="I174">
        <v>30</v>
      </c>
      <c r="K174">
        <v>707</v>
      </c>
      <c r="L174" s="32">
        <v>1</v>
      </c>
      <c r="M174">
        <v>4.7</v>
      </c>
      <c r="N174">
        <v>4.7</v>
      </c>
      <c r="O174">
        <v>5</v>
      </c>
      <c r="Q174" s="34">
        <v>1</v>
      </c>
      <c r="T174" s="16" t="s">
        <v>238</v>
      </c>
      <c r="U174" s="16" t="s">
        <v>257</v>
      </c>
      <c r="V174" s="16" t="s">
        <v>251</v>
      </c>
      <c r="W174" s="27" t="s">
        <v>554</v>
      </c>
      <c r="X174" s="27" t="s">
        <v>561</v>
      </c>
      <c r="Y174" t="s">
        <v>292</v>
      </c>
      <c r="Z174" t="s">
        <v>299</v>
      </c>
      <c r="AA174" s="32"/>
      <c r="AB174">
        <v>5</v>
      </c>
      <c r="AC174">
        <f t="shared" si="13"/>
        <v>0</v>
      </c>
      <c r="AD174" t="str">
        <f t="shared" si="10"/>
        <v>Mauna Loa:2002-2005</v>
      </c>
      <c r="AE174" t="s">
        <v>202</v>
      </c>
      <c r="AF174" t="s">
        <v>222</v>
      </c>
    </row>
    <row r="175" spans="1:42" x14ac:dyDescent="0.2">
      <c r="A175">
        <v>323020</v>
      </c>
      <c r="B175" s="8" t="s">
        <v>100</v>
      </c>
      <c r="C175" s="15">
        <v>1</v>
      </c>
      <c r="D175" s="8" t="s">
        <v>169</v>
      </c>
      <c r="E175" s="8" t="s">
        <v>163</v>
      </c>
      <c r="F175" s="19">
        <v>61</v>
      </c>
      <c r="I175">
        <v>15</v>
      </c>
      <c r="J175" s="10">
        <f>K175/(I175*PI())</f>
        <v>3.7560566569687301</v>
      </c>
      <c r="K175" s="15">
        <v>177</v>
      </c>
      <c r="L175" s="32">
        <v>1</v>
      </c>
      <c r="M175">
        <v>9</v>
      </c>
      <c r="N175">
        <v>10</v>
      </c>
      <c r="O175" s="42">
        <f>C175*F175</f>
        <v>61</v>
      </c>
      <c r="Q175" s="22">
        <v>1</v>
      </c>
      <c r="S175" s="16" t="s">
        <v>277</v>
      </c>
      <c r="T175" s="26" t="s">
        <v>238</v>
      </c>
      <c r="U175" s="26" t="s">
        <v>252</v>
      </c>
      <c r="V175" s="26" t="s">
        <v>251</v>
      </c>
      <c r="W175" s="26"/>
      <c r="X175" s="27" t="s">
        <v>294</v>
      </c>
      <c r="Y175" t="s">
        <v>290</v>
      </c>
      <c r="Z175" t="s">
        <v>309</v>
      </c>
      <c r="AA175" s="15">
        <f>-1*C175</f>
        <v>-1</v>
      </c>
      <c r="AB175" s="42"/>
      <c r="AC175">
        <f t="shared" si="13"/>
        <v>1</v>
      </c>
      <c r="AD175" t="str">
        <f t="shared" si="10"/>
        <v>Medicine Lake:1950-2011</v>
      </c>
      <c r="AE175" t="s">
        <v>202</v>
      </c>
      <c r="AF175" t="s">
        <v>222</v>
      </c>
    </row>
    <row r="176" spans="1:42" x14ac:dyDescent="0.2">
      <c r="A176">
        <v>222060</v>
      </c>
      <c r="B176" t="s">
        <v>206</v>
      </c>
      <c r="C176" s="32"/>
      <c r="D176" s="8" t="s">
        <v>442</v>
      </c>
      <c r="E176" s="8" t="s">
        <v>520</v>
      </c>
      <c r="F176">
        <v>3</v>
      </c>
      <c r="I176">
        <v>6</v>
      </c>
      <c r="K176" s="40">
        <v>28</v>
      </c>
      <c r="L176" s="32">
        <v>1</v>
      </c>
      <c r="M176">
        <v>1.5</v>
      </c>
      <c r="N176">
        <v>1.5</v>
      </c>
      <c r="O176">
        <v>2.8</v>
      </c>
      <c r="Q176" s="34">
        <v>1</v>
      </c>
      <c r="T176" s="16" t="s">
        <v>238</v>
      </c>
      <c r="U176" s="16" t="s">
        <v>254</v>
      </c>
      <c r="V176" s="16" t="s">
        <v>255</v>
      </c>
      <c r="W176" s="27" t="s">
        <v>554</v>
      </c>
      <c r="X176" s="27" t="s">
        <v>294</v>
      </c>
      <c r="Y176" t="s">
        <v>287</v>
      </c>
      <c r="Z176" t="s">
        <v>304</v>
      </c>
      <c r="AA176" s="15">
        <f>-1*C176</f>
        <v>0</v>
      </c>
      <c r="AB176" s="42"/>
      <c r="AC176">
        <f t="shared" si="13"/>
        <v>0</v>
      </c>
      <c r="AD176" t="str">
        <f t="shared" si="10"/>
        <v>Menengai:1997-2000</v>
      </c>
      <c r="AE176" t="s">
        <v>202</v>
      </c>
      <c r="AF176" t="s">
        <v>222</v>
      </c>
    </row>
    <row r="177" spans="1:42" x14ac:dyDescent="0.2">
      <c r="A177">
        <v>341060</v>
      </c>
      <c r="B177" s="8" t="s">
        <v>57</v>
      </c>
      <c r="C177" s="15">
        <v>5.5</v>
      </c>
      <c r="D177" s="8" t="s">
        <v>148</v>
      </c>
      <c r="E177" s="8" t="s">
        <v>163</v>
      </c>
      <c r="F177" s="19">
        <v>4</v>
      </c>
      <c r="J177" s="10"/>
      <c r="O177" s="45">
        <f>C177*F177</f>
        <v>22</v>
      </c>
      <c r="Q177" s="22">
        <v>2</v>
      </c>
      <c r="S177" s="16" t="s">
        <v>278</v>
      </c>
      <c r="T177" s="27" t="s">
        <v>242</v>
      </c>
      <c r="U177" s="27" t="s">
        <v>252</v>
      </c>
      <c r="V177" s="27" t="s">
        <v>250</v>
      </c>
      <c r="W177" s="27"/>
      <c r="X177" s="27" t="s">
        <v>294</v>
      </c>
      <c r="Y177" t="s">
        <v>290</v>
      </c>
      <c r="Z177" t="s">
        <v>308</v>
      </c>
      <c r="AA177" s="15">
        <f>-1*C177</f>
        <v>-5.5</v>
      </c>
      <c r="AB177" s="42"/>
      <c r="AC177">
        <f t="shared" si="13"/>
        <v>5.5</v>
      </c>
      <c r="AD177" t="str">
        <f t="shared" si="10"/>
        <v>Michoacán-Guanajuato (Paricutín):2007-2011</v>
      </c>
      <c r="AE177" t="s">
        <v>202</v>
      </c>
      <c r="AF177" t="s">
        <v>222</v>
      </c>
    </row>
    <row r="178" spans="1:42" x14ac:dyDescent="0.2">
      <c r="A178">
        <v>284040</v>
      </c>
      <c r="B178" s="8" t="s">
        <v>58</v>
      </c>
      <c r="C178" s="15">
        <v>0.6</v>
      </c>
      <c r="D178" s="8" t="s">
        <v>136</v>
      </c>
      <c r="E178" s="8" t="s">
        <v>132</v>
      </c>
      <c r="F178" s="19">
        <v>6</v>
      </c>
      <c r="J178" s="10"/>
      <c r="O178" s="45">
        <f>C178*F178</f>
        <v>3.5999999999999996</v>
      </c>
      <c r="Q178" s="22">
        <v>2</v>
      </c>
      <c r="S178" s="16" t="s">
        <v>275</v>
      </c>
      <c r="T178" s="26" t="s">
        <v>234</v>
      </c>
      <c r="U178" s="26" t="s">
        <v>260</v>
      </c>
      <c r="V178" s="26" t="s">
        <v>251</v>
      </c>
      <c r="W178" s="26"/>
      <c r="X178" s="27" t="s">
        <v>294</v>
      </c>
      <c r="Y178" t="s">
        <v>290</v>
      </c>
      <c r="Z178" t="s">
        <v>300</v>
      </c>
      <c r="AA178" s="15">
        <f>-1*C178</f>
        <v>-0.6</v>
      </c>
      <c r="AB178" s="42"/>
      <c r="AC178">
        <f t="shared" si="13"/>
        <v>0.6</v>
      </c>
      <c r="AD178" t="str">
        <f t="shared" si="10"/>
        <v>Miyakejima:1992-1998</v>
      </c>
      <c r="AE178" t="s">
        <v>202</v>
      </c>
      <c r="AF178" t="s">
        <v>222</v>
      </c>
    </row>
    <row r="179" spans="1:42" x14ac:dyDescent="0.2">
      <c r="A179">
        <v>284040</v>
      </c>
      <c r="B179" s="8" t="s">
        <v>58</v>
      </c>
      <c r="C179" s="15">
        <v>2</v>
      </c>
      <c r="D179" s="8" t="s">
        <v>139</v>
      </c>
      <c r="E179" s="8" t="s">
        <v>182</v>
      </c>
      <c r="F179" s="19">
        <v>4</v>
      </c>
      <c r="I179" t="s">
        <v>226</v>
      </c>
      <c r="J179" s="10"/>
      <c r="O179" s="45">
        <f>C179*F179</f>
        <v>8</v>
      </c>
      <c r="Q179" s="22">
        <v>1</v>
      </c>
      <c r="S179" s="16" t="s">
        <v>275</v>
      </c>
      <c r="T179" s="26" t="s">
        <v>234</v>
      </c>
      <c r="U179" s="26" t="s">
        <v>260</v>
      </c>
      <c r="V179" s="26" t="s">
        <v>251</v>
      </c>
      <c r="W179" s="26"/>
      <c r="X179" s="27" t="s">
        <v>293</v>
      </c>
      <c r="Y179" t="s">
        <v>293</v>
      </c>
      <c r="AA179" s="15">
        <v>2</v>
      </c>
      <c r="AB179" s="45"/>
      <c r="AC179">
        <f t="shared" si="13"/>
        <v>2</v>
      </c>
      <c r="AD179" t="str">
        <f t="shared" si="10"/>
        <v>Miyakejima:2006-2010</v>
      </c>
      <c r="AE179" t="s">
        <v>202</v>
      </c>
      <c r="AF179" t="s">
        <v>222</v>
      </c>
    </row>
    <row r="180" spans="1:42" x14ac:dyDescent="0.2">
      <c r="A180">
        <v>284040</v>
      </c>
      <c r="B180" s="8" t="s">
        <v>58</v>
      </c>
      <c r="C180" s="15">
        <v>15</v>
      </c>
      <c r="D180" s="8" t="s">
        <v>139</v>
      </c>
      <c r="E180" s="8" t="s">
        <v>182</v>
      </c>
      <c r="F180" s="19">
        <v>4</v>
      </c>
      <c r="I180" t="s">
        <v>226</v>
      </c>
      <c r="J180" s="10"/>
      <c r="O180" s="45">
        <f>C180*F180</f>
        <v>60</v>
      </c>
      <c r="Q180" s="22">
        <v>1</v>
      </c>
      <c r="S180" s="16" t="s">
        <v>275</v>
      </c>
      <c r="T180" s="26" t="s">
        <v>234</v>
      </c>
      <c r="U180" s="26" t="s">
        <v>260</v>
      </c>
      <c r="V180" s="26" t="s">
        <v>251</v>
      </c>
      <c r="W180" s="26"/>
      <c r="X180" s="27" t="s">
        <v>294</v>
      </c>
      <c r="Y180" t="s">
        <v>290</v>
      </c>
      <c r="Z180" t="s">
        <v>307</v>
      </c>
      <c r="AA180" s="15">
        <f>-1*C180</f>
        <v>-15</v>
      </c>
      <c r="AB180" s="42"/>
      <c r="AC180">
        <f t="shared" si="13"/>
        <v>15</v>
      </c>
      <c r="AD180" t="str">
        <f t="shared" si="10"/>
        <v>Miyakejima:2006-2010</v>
      </c>
      <c r="AE180" t="s">
        <v>202</v>
      </c>
      <c r="AF180" t="s">
        <v>222</v>
      </c>
    </row>
    <row r="181" spans="1:42" x14ac:dyDescent="0.2">
      <c r="A181">
        <v>284040</v>
      </c>
      <c r="B181" t="s">
        <v>58</v>
      </c>
      <c r="C181" s="32"/>
      <c r="D181" s="8" t="s">
        <v>521</v>
      </c>
      <c r="E181" s="8" t="s">
        <v>522</v>
      </c>
      <c r="F181">
        <v>6.575342465753424E-2</v>
      </c>
      <c r="I181" s="12">
        <v>2</v>
      </c>
      <c r="O181">
        <v>3.4</v>
      </c>
      <c r="Q181" s="34">
        <v>1</v>
      </c>
      <c r="T181" s="26" t="s">
        <v>234</v>
      </c>
      <c r="U181" s="26" t="s">
        <v>260</v>
      </c>
      <c r="V181" s="26" t="s">
        <v>251</v>
      </c>
      <c r="W181" s="27" t="s">
        <v>554</v>
      </c>
      <c r="X181" s="27" t="s">
        <v>294</v>
      </c>
      <c r="Y181" t="s">
        <v>290</v>
      </c>
      <c r="AA181" s="15">
        <f>-1*C181</f>
        <v>0</v>
      </c>
      <c r="AB181" s="42"/>
      <c r="AC181">
        <f t="shared" si="13"/>
        <v>0</v>
      </c>
      <c r="AD181" t="str">
        <f t="shared" si="10"/>
        <v>Miyakejima:10 Nov 2000-4 Dec 2000</v>
      </c>
      <c r="AE181" t="s">
        <v>202</v>
      </c>
      <c r="AF181" t="s">
        <v>222</v>
      </c>
    </row>
    <row r="182" spans="1:42" x14ac:dyDescent="0.2">
      <c r="A182">
        <v>323110</v>
      </c>
      <c r="B182" s="8" t="s">
        <v>101</v>
      </c>
      <c r="C182" s="15">
        <v>1.2</v>
      </c>
      <c r="D182" s="8" t="s">
        <v>136</v>
      </c>
      <c r="E182" s="8" t="s">
        <v>156</v>
      </c>
      <c r="F182" s="19">
        <v>8</v>
      </c>
      <c r="I182" s="12">
        <v>1</v>
      </c>
      <c r="J182" s="10">
        <f>K182/(I182*PI())</f>
        <v>0.22281692032865347</v>
      </c>
      <c r="K182" s="50">
        <v>0.7</v>
      </c>
      <c r="L182" s="32">
        <v>1</v>
      </c>
      <c r="O182" s="42">
        <f>C182*F182</f>
        <v>9.6</v>
      </c>
      <c r="Q182" s="22">
        <v>1</v>
      </c>
      <c r="S182" s="16" t="s">
        <v>277</v>
      </c>
      <c r="T182" s="26" t="s">
        <v>242</v>
      </c>
      <c r="U182" s="26" t="s">
        <v>254</v>
      </c>
      <c r="V182" s="26" t="s">
        <v>253</v>
      </c>
      <c r="W182" s="26"/>
      <c r="X182" s="27" t="s">
        <v>294</v>
      </c>
      <c r="Y182" t="s">
        <v>290</v>
      </c>
      <c r="Z182" s="26" t="s">
        <v>563</v>
      </c>
      <c r="AA182" s="15">
        <f>-1*C182</f>
        <v>-1.2</v>
      </c>
      <c r="AB182" s="42"/>
      <c r="AC182">
        <f t="shared" si="13"/>
        <v>1.2</v>
      </c>
      <c r="AD182" t="str">
        <f t="shared" si="10"/>
        <v>Mono Lake Volcanic Field:1992-2000</v>
      </c>
      <c r="AE182" t="s">
        <v>202</v>
      </c>
      <c r="AF182" t="s">
        <v>222</v>
      </c>
    </row>
    <row r="183" spans="1:42" x14ac:dyDescent="0.2">
      <c r="A183">
        <v>221101</v>
      </c>
      <c r="B183" s="30" t="s">
        <v>21</v>
      </c>
      <c r="C183" s="18">
        <v>-3.1</v>
      </c>
      <c r="D183" s="2"/>
      <c r="E183" s="2"/>
      <c r="F183" s="2" t="s">
        <v>6</v>
      </c>
      <c r="G183" s="2" t="s">
        <v>7</v>
      </c>
      <c r="H183" s="2">
        <v>0</v>
      </c>
      <c r="K183" s="47">
        <v>20</v>
      </c>
      <c r="L183" s="2"/>
      <c r="M183" s="2"/>
      <c r="N183" s="2"/>
      <c r="O183" s="2"/>
      <c r="P183" s="2">
        <v>0</v>
      </c>
      <c r="Q183" s="23">
        <v>1</v>
      </c>
      <c r="S183" s="16" t="s">
        <v>271</v>
      </c>
      <c r="T183" s="26" t="s">
        <v>234</v>
      </c>
      <c r="U183" s="26" t="s">
        <v>266</v>
      </c>
      <c r="V183" s="26" t="s">
        <v>255</v>
      </c>
      <c r="W183" s="26"/>
      <c r="X183" s="26" t="s">
        <v>294</v>
      </c>
      <c r="Y183" s="26"/>
      <c r="Z183" s="2" t="s">
        <v>19</v>
      </c>
      <c r="AA183" s="18">
        <v>-3.1</v>
      </c>
      <c r="AB183" s="2"/>
      <c r="AC183">
        <f t="shared" si="13"/>
        <v>3.1</v>
      </c>
      <c r="AD183" t="str">
        <f t="shared" si="10"/>
        <v>Nabro:-</v>
      </c>
      <c r="AE183" t="s">
        <v>40</v>
      </c>
    </row>
    <row r="184" spans="1:42" x14ac:dyDescent="0.2">
      <c r="A184">
        <v>221101</v>
      </c>
      <c r="B184" s="30" t="s">
        <v>21</v>
      </c>
      <c r="C184" s="18">
        <v>1.5</v>
      </c>
      <c r="D184" s="2"/>
      <c r="E184" s="2"/>
      <c r="F184" s="2" t="s">
        <v>6</v>
      </c>
      <c r="G184" s="2" t="s">
        <v>7</v>
      </c>
      <c r="H184" s="2">
        <v>0</v>
      </c>
      <c r="K184" s="47">
        <v>50</v>
      </c>
      <c r="L184" s="2"/>
      <c r="M184" s="2"/>
      <c r="N184" s="2"/>
      <c r="O184" s="2"/>
      <c r="P184" s="2">
        <v>0</v>
      </c>
      <c r="Q184" s="23">
        <v>1</v>
      </c>
      <c r="S184" s="16" t="s">
        <v>271</v>
      </c>
      <c r="T184" s="26" t="s">
        <v>234</v>
      </c>
      <c r="U184" s="26" t="s">
        <v>266</v>
      </c>
      <c r="V184" s="26" t="s">
        <v>255</v>
      </c>
      <c r="W184" s="26"/>
      <c r="X184" s="26" t="s">
        <v>563</v>
      </c>
      <c r="Y184" s="26"/>
      <c r="Z184" s="2" t="s">
        <v>22</v>
      </c>
      <c r="AA184" s="18">
        <v>1.5</v>
      </c>
      <c r="AB184" s="2"/>
      <c r="AC184">
        <f t="shared" si="13"/>
        <v>1.5</v>
      </c>
      <c r="AD184" t="str">
        <f t="shared" si="10"/>
        <v>Nabro:-</v>
      </c>
      <c r="AE184" t="s">
        <v>40</v>
      </c>
    </row>
    <row r="185" spans="1:42" x14ac:dyDescent="0.2">
      <c r="A185">
        <v>221101</v>
      </c>
      <c r="B185" s="8" t="s">
        <v>21</v>
      </c>
      <c r="C185" s="15">
        <v>20</v>
      </c>
      <c r="D185" s="8" t="s">
        <v>149</v>
      </c>
      <c r="E185" s="8" t="s">
        <v>188</v>
      </c>
      <c r="F185" s="19">
        <v>1.2547945205479452</v>
      </c>
      <c r="I185">
        <v>15</v>
      </c>
      <c r="J185" s="10">
        <f>K185/(I185*PI())</f>
        <v>3.7560566569687301</v>
      </c>
      <c r="K185" s="39">
        <v>177</v>
      </c>
      <c r="L185" s="32">
        <v>1</v>
      </c>
      <c r="M185">
        <v>7</v>
      </c>
      <c r="N185">
        <v>7</v>
      </c>
      <c r="O185" s="42">
        <f>C185*F185</f>
        <v>25.095890410958901</v>
      </c>
      <c r="Q185" s="22">
        <v>2</v>
      </c>
      <c r="S185" s="16" t="s">
        <v>271</v>
      </c>
      <c r="T185" s="26" t="s">
        <v>234</v>
      </c>
      <c r="U185" s="26" t="s">
        <v>266</v>
      </c>
      <c r="V185" s="26" t="s">
        <v>255</v>
      </c>
      <c r="W185" s="26"/>
      <c r="X185" s="27" t="s">
        <v>294</v>
      </c>
      <c r="Y185" t="s">
        <v>287</v>
      </c>
      <c r="Z185" t="s">
        <v>299</v>
      </c>
      <c r="AA185" s="15">
        <f>-1*C185</f>
        <v>-20</v>
      </c>
      <c r="AB185" s="42"/>
      <c r="AC185">
        <f t="shared" si="13"/>
        <v>20</v>
      </c>
      <c r="AD185" t="str">
        <f t="shared" si="10"/>
        <v>Nabro:Jul 2011-Oct 2012</v>
      </c>
      <c r="AE185" t="s">
        <v>202</v>
      </c>
      <c r="AF185" t="s">
        <v>222</v>
      </c>
    </row>
    <row r="186" spans="1:42" x14ac:dyDescent="0.2">
      <c r="A186">
        <v>273082</v>
      </c>
      <c r="B186" s="8" t="s">
        <v>102</v>
      </c>
      <c r="C186" s="15">
        <v>2.5</v>
      </c>
      <c r="D186" s="8" t="s">
        <v>170</v>
      </c>
      <c r="E186" s="8" t="s">
        <v>199</v>
      </c>
      <c r="F186" s="19">
        <v>2.9726027397260273</v>
      </c>
      <c r="I186">
        <v>15</v>
      </c>
      <c r="J186">
        <v>7</v>
      </c>
      <c r="K186">
        <v>82</v>
      </c>
      <c r="L186" s="32">
        <f>15/7</f>
        <v>2.1428571428571428</v>
      </c>
      <c r="O186" s="45">
        <f>C186*F186</f>
        <v>7.4315068493150687</v>
      </c>
      <c r="Q186" s="22">
        <v>1</v>
      </c>
      <c r="S186" s="16" t="s">
        <v>275</v>
      </c>
      <c r="T186" s="8" t="s">
        <v>234</v>
      </c>
      <c r="U186" s="26" t="s">
        <v>252</v>
      </c>
      <c r="V186" s="26" t="s">
        <v>250</v>
      </c>
      <c r="W186" s="26"/>
      <c r="X186" s="27" t="s">
        <v>561</v>
      </c>
      <c r="Y186" t="s">
        <v>292</v>
      </c>
      <c r="Z186" t="s">
        <v>305</v>
      </c>
      <c r="AA186" s="15">
        <v>2.5</v>
      </c>
      <c r="AB186" s="45"/>
      <c r="AC186">
        <f t="shared" si="13"/>
        <v>2.5</v>
      </c>
      <c r="AD186" t="str">
        <f t="shared" si="10"/>
        <v>Natib:19 Mar 2003-8 Mar 2006</v>
      </c>
      <c r="AE186" t="s">
        <v>202</v>
      </c>
      <c r="AF186" t="s">
        <v>222</v>
      </c>
    </row>
    <row r="187" spans="1:42" x14ac:dyDescent="0.2">
      <c r="A187">
        <v>353050</v>
      </c>
      <c r="B187" t="s">
        <v>335</v>
      </c>
      <c r="C187" s="32"/>
      <c r="D187" s="8" t="s">
        <v>136</v>
      </c>
      <c r="E187" s="8" t="s">
        <v>133</v>
      </c>
      <c r="F187">
        <v>7</v>
      </c>
      <c r="L187" s="32">
        <v>1</v>
      </c>
      <c r="M187">
        <v>2.2000000000000002</v>
      </c>
      <c r="N187">
        <v>2.2000000000000002</v>
      </c>
      <c r="O187">
        <v>270</v>
      </c>
      <c r="Q187" s="34">
        <v>2</v>
      </c>
      <c r="T187" s="16" t="s">
        <v>238</v>
      </c>
      <c r="U187" s="16" t="s">
        <v>258</v>
      </c>
      <c r="V187" s="16" t="s">
        <v>251</v>
      </c>
      <c r="W187" s="27" t="s">
        <v>554</v>
      </c>
      <c r="X187" s="27" t="s">
        <v>293</v>
      </c>
      <c r="Y187" t="s">
        <v>293</v>
      </c>
      <c r="Z187" t="s">
        <v>299</v>
      </c>
      <c r="AA187" s="32"/>
      <c r="AB187">
        <v>270</v>
      </c>
      <c r="AC187">
        <f t="shared" si="13"/>
        <v>0</v>
      </c>
      <c r="AD187" t="str">
        <f t="shared" si="10"/>
        <v>Negra, Sierra:1992-1999</v>
      </c>
      <c r="AE187" t="s">
        <v>202</v>
      </c>
      <c r="AF187" t="s">
        <v>222</v>
      </c>
    </row>
    <row r="188" spans="1:42" s="43" customFormat="1" x14ac:dyDescent="0.2">
      <c r="A188">
        <v>353050</v>
      </c>
      <c r="B188" t="s">
        <v>335</v>
      </c>
      <c r="C188" s="32"/>
      <c r="D188" s="8" t="s">
        <v>434</v>
      </c>
      <c r="E188" s="8" t="s">
        <v>435</v>
      </c>
      <c r="F188">
        <f>35/365</f>
        <v>9.5890410958904104E-2</v>
      </c>
      <c r="G188"/>
      <c r="H188"/>
      <c r="I188">
        <v>8</v>
      </c>
      <c r="J188"/>
      <c r="K188">
        <v>50</v>
      </c>
      <c r="L188" s="32">
        <v>1</v>
      </c>
      <c r="M188">
        <v>2</v>
      </c>
      <c r="N188">
        <v>2</v>
      </c>
      <c r="O188">
        <v>30</v>
      </c>
      <c r="P188"/>
      <c r="Q188" s="34">
        <v>2</v>
      </c>
      <c r="R188"/>
      <c r="S188"/>
      <c r="T188" s="16" t="s">
        <v>238</v>
      </c>
      <c r="U188" s="16" t="s">
        <v>258</v>
      </c>
      <c r="V188" s="16" t="s">
        <v>251</v>
      </c>
      <c r="W188" s="27" t="s">
        <v>554</v>
      </c>
      <c r="X188" s="27" t="s">
        <v>294</v>
      </c>
      <c r="Y188" t="s">
        <v>290</v>
      </c>
      <c r="Z188" t="s">
        <v>297</v>
      </c>
      <c r="AA188" s="15">
        <f>-1*C188</f>
        <v>0</v>
      </c>
      <c r="AB188" s="42"/>
      <c r="AC188"/>
      <c r="AD188" t="str">
        <f t="shared" si="10"/>
        <v>Negra, Sierra:9/24/2005-10/29/2005</v>
      </c>
      <c r="AE188" t="s">
        <v>202</v>
      </c>
      <c r="AF188" t="s">
        <v>222</v>
      </c>
      <c r="AG188"/>
      <c r="AH188"/>
      <c r="AI188"/>
      <c r="AJ188"/>
      <c r="AK188"/>
      <c r="AL188"/>
      <c r="AM188"/>
      <c r="AN188"/>
      <c r="AO188"/>
      <c r="AP188"/>
    </row>
    <row r="189" spans="1:42" x14ac:dyDescent="0.2">
      <c r="A189">
        <v>353050</v>
      </c>
      <c r="B189" t="s">
        <v>335</v>
      </c>
      <c r="C189" s="32"/>
      <c r="D189" s="8" t="s">
        <v>432</v>
      </c>
      <c r="E189" s="8" t="s">
        <v>433</v>
      </c>
      <c r="F189">
        <f>89/365</f>
        <v>0.24383561643835616</v>
      </c>
      <c r="L189" s="32">
        <v>1</v>
      </c>
      <c r="O189">
        <v>110</v>
      </c>
      <c r="Q189" s="34">
        <v>2</v>
      </c>
      <c r="T189" s="16" t="s">
        <v>238</v>
      </c>
      <c r="U189" s="16" t="s">
        <v>258</v>
      </c>
      <c r="V189" s="16" t="s">
        <v>251</v>
      </c>
      <c r="W189" s="27" t="s">
        <v>554</v>
      </c>
      <c r="X189" s="27" t="s">
        <v>293</v>
      </c>
      <c r="Y189" t="s">
        <v>293</v>
      </c>
      <c r="Z189" t="s">
        <v>298</v>
      </c>
      <c r="AA189" s="32"/>
      <c r="AB189">
        <v>110</v>
      </c>
      <c r="AD189" t="str">
        <f t="shared" si="10"/>
        <v>Negra, Sierra:1/27/2005-5/12/2005</v>
      </c>
      <c r="AE189" t="s">
        <v>202</v>
      </c>
      <c r="AF189" t="s">
        <v>222</v>
      </c>
    </row>
    <row r="190" spans="1:42" s="43" customFormat="1" x14ac:dyDescent="0.2">
      <c r="A190">
        <v>353050</v>
      </c>
      <c r="B190" t="s">
        <v>335</v>
      </c>
      <c r="C190" s="32"/>
      <c r="D190" s="8" t="s">
        <v>431</v>
      </c>
      <c r="E190" s="8" t="s">
        <v>432</v>
      </c>
      <c r="F190">
        <f>16/365</f>
        <v>4.3835616438356165E-2</v>
      </c>
      <c r="G190"/>
      <c r="H190"/>
      <c r="I190">
        <v>6</v>
      </c>
      <c r="J190"/>
      <c r="K190">
        <v>28</v>
      </c>
      <c r="L190" s="32">
        <v>1</v>
      </c>
      <c r="M190">
        <v>2.2000000000000002</v>
      </c>
      <c r="N190">
        <v>2.2000000000000002</v>
      </c>
      <c r="O190">
        <v>50</v>
      </c>
      <c r="P190"/>
      <c r="Q190" s="34">
        <v>2</v>
      </c>
      <c r="R190"/>
      <c r="S190"/>
      <c r="T190" s="16" t="s">
        <v>238</v>
      </c>
      <c r="U190" s="16" t="s">
        <v>258</v>
      </c>
      <c r="V190" s="16" t="s">
        <v>251</v>
      </c>
      <c r="W190" s="27" t="s">
        <v>554</v>
      </c>
      <c r="X190" s="27" t="s">
        <v>293</v>
      </c>
      <c r="Y190" t="s">
        <v>293</v>
      </c>
      <c r="Z190" t="s">
        <v>299</v>
      </c>
      <c r="AA190" s="32"/>
      <c r="AB190">
        <v>50</v>
      </c>
      <c r="AC190"/>
      <c r="AD190" t="str">
        <f t="shared" si="10"/>
        <v>Negra, Sierra:2/12/2004-1/27/2005</v>
      </c>
      <c r="AE190" t="s">
        <v>202</v>
      </c>
      <c r="AF190" t="s">
        <v>222</v>
      </c>
      <c r="AG190"/>
      <c r="AH190"/>
      <c r="AI190"/>
      <c r="AJ190"/>
      <c r="AK190"/>
      <c r="AL190"/>
      <c r="AM190"/>
      <c r="AN190"/>
      <c r="AO190"/>
      <c r="AP190"/>
    </row>
    <row r="191" spans="1:42" s="43" customFormat="1" x14ac:dyDescent="0.2">
      <c r="A191">
        <v>351020</v>
      </c>
      <c r="B191" s="31" t="s">
        <v>544</v>
      </c>
      <c r="C191" s="15">
        <v>4</v>
      </c>
      <c r="D191" s="8" t="s">
        <v>153</v>
      </c>
      <c r="E191" s="8" t="s">
        <v>192</v>
      </c>
      <c r="F191" s="19">
        <v>3</v>
      </c>
      <c r="G191"/>
      <c r="H191">
        <v>10</v>
      </c>
      <c r="I191">
        <v>20</v>
      </c>
      <c r="J191" s="10">
        <f>K191/(I191*PI())</f>
        <v>4.9974652130855137</v>
      </c>
      <c r="K191" s="15">
        <v>314</v>
      </c>
      <c r="L191" s="32">
        <v>1</v>
      </c>
      <c r="M191">
        <v>14</v>
      </c>
      <c r="N191">
        <v>14</v>
      </c>
      <c r="O191" s="42">
        <f>C191*F191</f>
        <v>12</v>
      </c>
      <c r="P191"/>
      <c r="Q191" s="22">
        <v>1</v>
      </c>
      <c r="R191"/>
      <c r="S191" s="16" t="s">
        <v>279</v>
      </c>
      <c r="T191" s="26" t="s">
        <v>234</v>
      </c>
      <c r="U191" s="26" t="s">
        <v>252</v>
      </c>
      <c r="V191" s="26" t="s">
        <v>250</v>
      </c>
      <c r="W191" s="26"/>
      <c r="X191" s="27" t="s">
        <v>293</v>
      </c>
      <c r="Y191" t="s">
        <v>293</v>
      </c>
      <c r="Z191" t="s">
        <v>302</v>
      </c>
      <c r="AA191" s="15">
        <v>4</v>
      </c>
      <c r="AB191" s="42"/>
      <c r="AC191">
        <f t="shared" ref="AC191:AC222" si="14">ABS(C191)</f>
        <v>4</v>
      </c>
      <c r="AD191" t="str">
        <f t="shared" si="10"/>
        <v>Nevado del Ruiz:2012-2015</v>
      </c>
      <c r="AE191" t="s">
        <v>202</v>
      </c>
      <c r="AF191" t="s">
        <v>222</v>
      </c>
      <c r="AG191"/>
      <c r="AH191"/>
      <c r="AI191"/>
      <c r="AJ191"/>
      <c r="AK191"/>
      <c r="AL191"/>
      <c r="AM191"/>
      <c r="AN191"/>
      <c r="AO191"/>
      <c r="AP191"/>
    </row>
    <row r="192" spans="1:42" x14ac:dyDescent="0.2">
      <c r="A192">
        <v>212050</v>
      </c>
      <c r="B192" t="s">
        <v>203</v>
      </c>
      <c r="C192" s="32"/>
      <c r="D192" s="8" t="s">
        <v>399</v>
      </c>
      <c r="E192" s="8">
        <v>2000</v>
      </c>
      <c r="F192">
        <v>2</v>
      </c>
      <c r="I192" s="12">
        <v>2</v>
      </c>
      <c r="L192" s="32">
        <v>1</v>
      </c>
      <c r="O192">
        <v>7</v>
      </c>
      <c r="Q192" s="34">
        <v>1</v>
      </c>
      <c r="T192" s="16" t="s">
        <v>234</v>
      </c>
      <c r="U192" s="16" t="s">
        <v>252</v>
      </c>
      <c r="V192" s="16" t="s">
        <v>253</v>
      </c>
      <c r="W192" s="27" t="s">
        <v>554</v>
      </c>
      <c r="X192" s="27" t="s">
        <v>294</v>
      </c>
      <c r="Y192" t="s">
        <v>287</v>
      </c>
      <c r="AA192" s="15">
        <f>-1*C192</f>
        <v>0</v>
      </c>
      <c r="AB192" s="42"/>
      <c r="AC192">
        <f t="shared" si="14"/>
        <v>0</v>
      </c>
      <c r="AD192" t="str">
        <f t="shared" si="10"/>
        <v>Nisyros:1998-2000</v>
      </c>
      <c r="AE192" t="s">
        <v>202</v>
      </c>
      <c r="AF192" t="s">
        <v>222</v>
      </c>
    </row>
    <row r="193" spans="1:42" x14ac:dyDescent="0.2">
      <c r="A193">
        <v>212050</v>
      </c>
      <c r="B193" t="s">
        <v>203</v>
      </c>
      <c r="C193" s="32"/>
      <c r="D193" s="8" t="s">
        <v>441</v>
      </c>
      <c r="E193" s="8">
        <v>1998</v>
      </c>
      <c r="F193">
        <v>3</v>
      </c>
      <c r="I193" s="12">
        <v>8</v>
      </c>
      <c r="L193" s="32">
        <v>1</v>
      </c>
      <c r="M193">
        <v>5.5</v>
      </c>
      <c r="N193">
        <v>6.5</v>
      </c>
      <c r="O193">
        <v>14</v>
      </c>
      <c r="Q193" s="34">
        <v>1</v>
      </c>
      <c r="T193" s="16" t="s">
        <v>234</v>
      </c>
      <c r="U193" s="16" t="s">
        <v>252</v>
      </c>
      <c r="V193" s="16" t="s">
        <v>253</v>
      </c>
      <c r="W193" s="27" t="s">
        <v>554</v>
      </c>
      <c r="X193" s="27" t="s">
        <v>293</v>
      </c>
      <c r="Y193" t="s">
        <v>286</v>
      </c>
      <c r="AA193" s="32"/>
      <c r="AB193">
        <v>14</v>
      </c>
      <c r="AC193">
        <f t="shared" si="14"/>
        <v>0</v>
      </c>
      <c r="AD193" t="str">
        <f t="shared" si="10"/>
        <v>Nisyros:1995-1998</v>
      </c>
      <c r="AE193" t="s">
        <v>202</v>
      </c>
      <c r="AF193" t="s">
        <v>222</v>
      </c>
    </row>
    <row r="194" spans="1:42" x14ac:dyDescent="0.2">
      <c r="A194">
        <v>223020</v>
      </c>
      <c r="B194" s="8" t="s">
        <v>59</v>
      </c>
      <c r="C194" s="15">
        <v>2.5</v>
      </c>
      <c r="D194" s="8" t="s">
        <v>150</v>
      </c>
      <c r="E194" s="8" t="s">
        <v>189</v>
      </c>
      <c r="F194" s="19">
        <v>7.1671232876712327</v>
      </c>
      <c r="J194" s="10"/>
      <c r="O194" s="45">
        <f>C194*F194</f>
        <v>17.917808219178081</v>
      </c>
      <c r="Q194" s="22">
        <v>2</v>
      </c>
      <c r="S194" s="16" t="s">
        <v>271</v>
      </c>
      <c r="T194" s="26" t="s">
        <v>238</v>
      </c>
      <c r="U194" s="26" t="s">
        <v>254</v>
      </c>
      <c r="V194" s="26" t="s">
        <v>259</v>
      </c>
      <c r="W194" s="26"/>
      <c r="X194" s="27" t="s">
        <v>294</v>
      </c>
      <c r="Y194" t="s">
        <v>287</v>
      </c>
      <c r="Z194" t="s">
        <v>300</v>
      </c>
      <c r="AA194" s="15">
        <f t="shared" ref="AA194:AA199" si="15">-1*C194</f>
        <v>-2.5</v>
      </c>
      <c r="AB194" s="42"/>
      <c r="AC194">
        <f t="shared" si="14"/>
        <v>2.5</v>
      </c>
      <c r="AD194" t="str">
        <f t="shared" ref="AD194:AD257" si="16">_xlfn.CONCAT(B194,$AK$3,D194,$AK$2,E194)</f>
        <v>Nyamuragira:Jan 2003-Mar 2010</v>
      </c>
      <c r="AE194" t="s">
        <v>202</v>
      </c>
      <c r="AF194" t="s">
        <v>222</v>
      </c>
    </row>
    <row r="195" spans="1:42" x14ac:dyDescent="0.2">
      <c r="A195">
        <v>223020</v>
      </c>
      <c r="B195" t="s">
        <v>59</v>
      </c>
      <c r="C195" s="32"/>
      <c r="D195" s="8" t="s">
        <v>438</v>
      </c>
      <c r="E195" s="8" t="s">
        <v>439</v>
      </c>
      <c r="F195">
        <v>1.0547945205479452</v>
      </c>
      <c r="O195">
        <v>25</v>
      </c>
      <c r="Q195" s="34">
        <v>2</v>
      </c>
      <c r="T195" s="26" t="s">
        <v>238</v>
      </c>
      <c r="U195" s="26" t="s">
        <v>254</v>
      </c>
      <c r="V195" s="26" t="s">
        <v>259</v>
      </c>
      <c r="W195" s="27" t="s">
        <v>554</v>
      </c>
      <c r="X195" s="27" t="s">
        <v>561</v>
      </c>
      <c r="Y195" t="s">
        <v>288</v>
      </c>
      <c r="Z195" t="s">
        <v>297</v>
      </c>
      <c r="AA195" s="15">
        <f t="shared" si="15"/>
        <v>0</v>
      </c>
      <c r="AB195" s="42"/>
      <c r="AC195">
        <f t="shared" si="14"/>
        <v>0</v>
      </c>
      <c r="AD195" t="str">
        <f t="shared" si="16"/>
        <v>Nyamuragira:22 Oct 1997-11 Nov 1998</v>
      </c>
      <c r="AE195" t="s">
        <v>202</v>
      </c>
      <c r="AF195" t="s">
        <v>222</v>
      </c>
    </row>
    <row r="196" spans="1:42" x14ac:dyDescent="0.2">
      <c r="A196">
        <v>223020</v>
      </c>
      <c r="B196" t="s">
        <v>59</v>
      </c>
      <c r="C196" s="32"/>
      <c r="D196" s="8" t="s">
        <v>436</v>
      </c>
      <c r="E196" s="8" t="s">
        <v>437</v>
      </c>
      <c r="F196">
        <v>0.36164383561643837</v>
      </c>
      <c r="M196">
        <v>4</v>
      </c>
      <c r="N196">
        <v>25</v>
      </c>
      <c r="O196">
        <v>35.4</v>
      </c>
      <c r="Q196" s="34">
        <v>2</v>
      </c>
      <c r="T196" s="26" t="s">
        <v>238</v>
      </c>
      <c r="U196" s="26" t="s">
        <v>254</v>
      </c>
      <c r="V196" s="26" t="s">
        <v>259</v>
      </c>
      <c r="W196" s="27" t="s">
        <v>554</v>
      </c>
      <c r="X196" s="27" t="s">
        <v>561</v>
      </c>
      <c r="Y196" t="s">
        <v>288</v>
      </c>
      <c r="Z196" t="s">
        <v>297</v>
      </c>
      <c r="AA196" s="15">
        <f t="shared" si="15"/>
        <v>0</v>
      </c>
      <c r="AB196" s="42"/>
      <c r="AC196">
        <f t="shared" si="14"/>
        <v>0</v>
      </c>
      <c r="AD196" t="str">
        <f t="shared" si="16"/>
        <v>Nyamuragira:19 Oct 1996-28 Feb 1997</v>
      </c>
      <c r="AE196" t="s">
        <v>202</v>
      </c>
      <c r="AF196" t="s">
        <v>222</v>
      </c>
    </row>
    <row r="197" spans="1:42" x14ac:dyDescent="0.2">
      <c r="A197">
        <v>241050</v>
      </c>
      <c r="B197" s="31" t="s">
        <v>115</v>
      </c>
      <c r="C197" s="15">
        <v>2</v>
      </c>
      <c r="D197" s="8" t="s">
        <v>134</v>
      </c>
      <c r="E197" s="8" t="s">
        <v>163</v>
      </c>
      <c r="F197" s="19">
        <v>8</v>
      </c>
      <c r="J197" s="10"/>
      <c r="O197" s="45">
        <f>C197*F197</f>
        <v>16</v>
      </c>
      <c r="Q197" s="22">
        <v>1</v>
      </c>
      <c r="S197" s="16" t="s">
        <v>273</v>
      </c>
      <c r="T197" s="26" t="s">
        <v>243</v>
      </c>
      <c r="U197" s="26" t="s">
        <v>252</v>
      </c>
      <c r="V197" s="26" t="s">
        <v>256</v>
      </c>
      <c r="W197" s="26"/>
      <c r="X197" s="27" t="s">
        <v>294</v>
      </c>
      <c r="Y197" t="s">
        <v>290</v>
      </c>
      <c r="Z197" t="s">
        <v>302</v>
      </c>
      <c r="AA197" s="15">
        <f t="shared" si="15"/>
        <v>-2</v>
      </c>
      <c r="AB197" s="42"/>
      <c r="AC197">
        <f t="shared" si="14"/>
        <v>2</v>
      </c>
      <c r="AD197" t="str">
        <f t="shared" si="16"/>
        <v>Okataina caldera, Wairakei caldera, Kapengai caldera:2003-2011</v>
      </c>
      <c r="AE197" t="s">
        <v>202</v>
      </c>
      <c r="AF197" t="s">
        <v>222</v>
      </c>
    </row>
    <row r="198" spans="1:42" x14ac:dyDescent="0.2">
      <c r="A198">
        <v>311290</v>
      </c>
      <c r="B198" s="8" t="s">
        <v>60</v>
      </c>
      <c r="C198" s="15">
        <v>1.5</v>
      </c>
      <c r="D198" s="8" t="s">
        <v>136</v>
      </c>
      <c r="E198" s="8" t="s">
        <v>151</v>
      </c>
      <c r="F198" s="19">
        <v>16</v>
      </c>
      <c r="J198" s="10"/>
      <c r="L198" s="32">
        <v>1</v>
      </c>
      <c r="O198" s="45">
        <f>C198*F198</f>
        <v>24</v>
      </c>
      <c r="Q198" s="22">
        <v>2</v>
      </c>
      <c r="S198" s="16" t="s">
        <v>248</v>
      </c>
      <c r="T198" s="26" t="s">
        <v>238</v>
      </c>
      <c r="U198" s="26" t="s">
        <v>249</v>
      </c>
      <c r="V198" s="26" t="s">
        <v>251</v>
      </c>
      <c r="W198" s="26"/>
      <c r="X198" s="27" t="s">
        <v>294</v>
      </c>
      <c r="Y198" t="s">
        <v>290</v>
      </c>
      <c r="Z198" t="s">
        <v>300</v>
      </c>
      <c r="AA198" s="15">
        <f t="shared" si="15"/>
        <v>-1.5</v>
      </c>
      <c r="AB198" s="42"/>
      <c r="AC198">
        <f t="shared" si="14"/>
        <v>1.5</v>
      </c>
      <c r="AD198" t="str">
        <f t="shared" si="16"/>
        <v>Okmok:1992-2008</v>
      </c>
      <c r="AE198" t="s">
        <v>202</v>
      </c>
      <c r="AF198" t="s">
        <v>222</v>
      </c>
    </row>
    <row r="199" spans="1:42" x14ac:dyDescent="0.2">
      <c r="A199">
        <v>311290</v>
      </c>
      <c r="B199" t="s">
        <v>60</v>
      </c>
      <c r="C199" s="32"/>
      <c r="D199" s="8" t="s">
        <v>145</v>
      </c>
      <c r="E199" s="8" t="s">
        <v>152</v>
      </c>
      <c r="F199">
        <v>1</v>
      </c>
      <c r="I199" s="10">
        <v>7</v>
      </c>
      <c r="J199" s="10">
        <v>5</v>
      </c>
      <c r="K199" s="38">
        <f>PI()*(I199/2)*(J199/2)</f>
        <v>27.488935718910689</v>
      </c>
      <c r="L199">
        <f>7/5</f>
        <v>1.4</v>
      </c>
      <c r="M199">
        <v>3</v>
      </c>
      <c r="N199">
        <v>3</v>
      </c>
      <c r="O199">
        <v>2</v>
      </c>
      <c r="Q199" s="34">
        <v>2</v>
      </c>
      <c r="T199" s="26" t="s">
        <v>238</v>
      </c>
      <c r="U199" s="26" t="s">
        <v>249</v>
      </c>
      <c r="V199" s="26" t="s">
        <v>251</v>
      </c>
      <c r="W199" s="27" t="s">
        <v>554</v>
      </c>
      <c r="X199" s="27" t="s">
        <v>294</v>
      </c>
      <c r="Y199" t="s">
        <v>290</v>
      </c>
      <c r="Z199" t="s">
        <v>299</v>
      </c>
      <c r="AA199" s="15">
        <f t="shared" si="15"/>
        <v>0</v>
      </c>
      <c r="AB199" s="42"/>
      <c r="AC199">
        <f t="shared" si="14"/>
        <v>0</v>
      </c>
      <c r="AD199" t="str">
        <f t="shared" si="16"/>
        <v>Okmok:1995-1996</v>
      </c>
      <c r="AE199" t="s">
        <v>202</v>
      </c>
      <c r="AF199" t="s">
        <v>222</v>
      </c>
    </row>
    <row r="200" spans="1:42" x14ac:dyDescent="0.2">
      <c r="A200">
        <v>311290</v>
      </c>
      <c r="B200" t="s">
        <v>60</v>
      </c>
      <c r="C200" s="32"/>
      <c r="D200" s="8" t="s">
        <v>164</v>
      </c>
      <c r="E200" s="8" t="s">
        <v>139</v>
      </c>
      <c r="F200">
        <v>1</v>
      </c>
      <c r="I200" s="10">
        <v>6</v>
      </c>
      <c r="J200" s="10"/>
      <c r="K200" s="38">
        <f>PI()*(I200/2)^2</f>
        <v>28.274333882308138</v>
      </c>
      <c r="L200" s="32">
        <v>1</v>
      </c>
      <c r="M200">
        <v>3</v>
      </c>
      <c r="N200">
        <v>3</v>
      </c>
      <c r="O200">
        <v>5</v>
      </c>
      <c r="Q200" s="34">
        <v>2</v>
      </c>
      <c r="T200" s="26" t="s">
        <v>238</v>
      </c>
      <c r="U200" s="26" t="s">
        <v>249</v>
      </c>
      <c r="V200" s="26" t="s">
        <v>251</v>
      </c>
      <c r="W200" s="27" t="s">
        <v>554</v>
      </c>
      <c r="X200" s="27" t="s">
        <v>293</v>
      </c>
      <c r="Y200" t="s">
        <v>293</v>
      </c>
      <c r="Z200" t="s">
        <v>299</v>
      </c>
      <c r="AA200" s="32"/>
      <c r="AB200">
        <v>5</v>
      </c>
      <c r="AC200">
        <f t="shared" si="14"/>
        <v>0</v>
      </c>
      <c r="AD200" t="str">
        <f t="shared" si="16"/>
        <v>Okmok:2005-2006</v>
      </c>
      <c r="AE200" t="s">
        <v>202</v>
      </c>
      <c r="AF200" t="s">
        <v>222</v>
      </c>
    </row>
    <row r="201" spans="1:42" s="43" customFormat="1" x14ac:dyDescent="0.2">
      <c r="A201">
        <v>311290</v>
      </c>
      <c r="B201" t="s">
        <v>60</v>
      </c>
      <c r="C201" s="32"/>
      <c r="D201" s="8" t="s">
        <v>135</v>
      </c>
      <c r="E201" s="8" t="s">
        <v>164</v>
      </c>
      <c r="F201">
        <v>1</v>
      </c>
      <c r="G201"/>
      <c r="H201"/>
      <c r="I201" s="10">
        <v>4</v>
      </c>
      <c r="J201" s="10"/>
      <c r="K201" s="38">
        <f>PI()*(I201/2)^2</f>
        <v>12.566370614359172</v>
      </c>
      <c r="L201" s="32">
        <v>1</v>
      </c>
      <c r="M201">
        <v>3</v>
      </c>
      <c r="N201">
        <v>3</v>
      </c>
      <c r="O201">
        <v>5</v>
      </c>
      <c r="P201"/>
      <c r="Q201" s="34">
        <v>2</v>
      </c>
      <c r="R201"/>
      <c r="S201"/>
      <c r="T201" s="26" t="s">
        <v>238</v>
      </c>
      <c r="U201" s="26" t="s">
        <v>249</v>
      </c>
      <c r="V201" s="26" t="s">
        <v>251</v>
      </c>
      <c r="W201" s="27" t="s">
        <v>554</v>
      </c>
      <c r="X201" s="27" t="s">
        <v>294</v>
      </c>
      <c r="Y201" t="s">
        <v>290</v>
      </c>
      <c r="Z201" t="s">
        <v>299</v>
      </c>
      <c r="AA201" s="15">
        <f>-1*C201</f>
        <v>0</v>
      </c>
      <c r="AB201" s="42"/>
      <c r="AC201">
        <f t="shared" si="14"/>
        <v>0</v>
      </c>
      <c r="AD201" t="str">
        <f t="shared" si="16"/>
        <v>Okmok:2004-2005</v>
      </c>
      <c r="AE201" t="s">
        <v>202</v>
      </c>
      <c r="AF201" t="s">
        <v>222</v>
      </c>
      <c r="AG201"/>
      <c r="AH201"/>
      <c r="AI201"/>
      <c r="AJ201"/>
      <c r="AK201"/>
      <c r="AL201"/>
      <c r="AM201"/>
      <c r="AN201"/>
      <c r="AO201"/>
      <c r="AP201"/>
    </row>
    <row r="202" spans="1:42" x14ac:dyDescent="0.2">
      <c r="A202">
        <v>311290</v>
      </c>
      <c r="B202" t="s">
        <v>60</v>
      </c>
      <c r="C202" s="32"/>
      <c r="D202" s="8" t="s">
        <v>136</v>
      </c>
      <c r="E202" s="8" t="s">
        <v>441</v>
      </c>
      <c r="F202">
        <v>3</v>
      </c>
      <c r="I202" s="10">
        <v>10</v>
      </c>
      <c r="J202" s="10"/>
      <c r="K202" s="38">
        <f>PI()*(I202/2)^2</f>
        <v>78.539816339744831</v>
      </c>
      <c r="L202" s="32">
        <v>1</v>
      </c>
      <c r="M202">
        <v>3</v>
      </c>
      <c r="N202">
        <v>3</v>
      </c>
      <c r="O202">
        <v>20</v>
      </c>
      <c r="Q202" s="34">
        <v>2</v>
      </c>
      <c r="T202" s="26" t="s">
        <v>238</v>
      </c>
      <c r="U202" s="26" t="s">
        <v>249</v>
      </c>
      <c r="V202" s="26" t="s">
        <v>251</v>
      </c>
      <c r="W202" s="27" t="s">
        <v>554</v>
      </c>
      <c r="X202" s="27" t="s">
        <v>293</v>
      </c>
      <c r="Y202" t="s">
        <v>293</v>
      </c>
      <c r="Z202" t="s">
        <v>299</v>
      </c>
      <c r="AA202" s="32"/>
      <c r="AB202">
        <v>20</v>
      </c>
      <c r="AC202">
        <f t="shared" si="14"/>
        <v>0</v>
      </c>
      <c r="AD202" t="str">
        <f t="shared" si="16"/>
        <v>Okmok:1992-1995</v>
      </c>
      <c r="AE202" t="s">
        <v>202</v>
      </c>
      <c r="AF202" t="s">
        <v>222</v>
      </c>
    </row>
    <row r="203" spans="1:42" x14ac:dyDescent="0.2">
      <c r="A203" s="6">
        <v>311290</v>
      </c>
      <c r="B203" s="31" t="s">
        <v>60</v>
      </c>
      <c r="C203" s="15">
        <v>13</v>
      </c>
      <c r="D203" s="8" t="s">
        <v>151</v>
      </c>
      <c r="E203" s="8" t="s">
        <v>191</v>
      </c>
      <c r="F203" s="19">
        <v>6</v>
      </c>
      <c r="I203">
        <v>12</v>
      </c>
      <c r="J203" s="10">
        <f>K203/(I203*PI())</f>
        <v>2.9974180948973621</v>
      </c>
      <c r="K203" s="15">
        <v>113</v>
      </c>
      <c r="L203" s="32">
        <v>1</v>
      </c>
      <c r="M203">
        <v>3.9</v>
      </c>
      <c r="N203">
        <v>3.9</v>
      </c>
      <c r="O203" s="42">
        <f>C203*F203</f>
        <v>78</v>
      </c>
      <c r="Q203" s="22">
        <v>2</v>
      </c>
      <c r="S203" s="16" t="s">
        <v>248</v>
      </c>
      <c r="T203" s="26" t="s">
        <v>238</v>
      </c>
      <c r="U203" s="26" t="s">
        <v>249</v>
      </c>
      <c r="V203" s="26" t="s">
        <v>251</v>
      </c>
      <c r="W203" s="26"/>
      <c r="X203" s="27" t="s">
        <v>293</v>
      </c>
      <c r="Y203" t="s">
        <v>293</v>
      </c>
      <c r="Z203" s="26" t="s">
        <v>563</v>
      </c>
      <c r="AA203" s="15">
        <v>13</v>
      </c>
      <c r="AB203" s="42"/>
      <c r="AC203">
        <f t="shared" si="14"/>
        <v>13</v>
      </c>
      <c r="AD203" t="str">
        <f t="shared" si="16"/>
        <v>Okmok:2008-2014</v>
      </c>
      <c r="AE203" t="s">
        <v>202</v>
      </c>
      <c r="AF203" t="s">
        <v>222</v>
      </c>
    </row>
    <row r="204" spans="1:42" x14ac:dyDescent="0.2">
      <c r="A204">
        <v>311290</v>
      </c>
      <c r="B204" t="s">
        <v>60</v>
      </c>
      <c r="C204" s="32"/>
      <c r="D204" s="8" t="s">
        <v>443</v>
      </c>
      <c r="E204" s="8" t="s">
        <v>444</v>
      </c>
      <c r="F204">
        <v>1.1095890410958904</v>
      </c>
      <c r="I204" s="10">
        <v>10</v>
      </c>
      <c r="J204" s="10"/>
      <c r="K204" s="38">
        <f>PI()*(I204/2)^2</f>
        <v>78.539816339744831</v>
      </c>
      <c r="L204" s="32">
        <v>1</v>
      </c>
      <c r="M204">
        <v>3</v>
      </c>
      <c r="N204">
        <v>3</v>
      </c>
      <c r="O204">
        <v>15</v>
      </c>
      <c r="Q204" s="34">
        <v>2</v>
      </c>
      <c r="T204" s="26" t="s">
        <v>238</v>
      </c>
      <c r="U204" s="26" t="s">
        <v>249</v>
      </c>
      <c r="V204" s="26" t="s">
        <v>251</v>
      </c>
      <c r="W204" s="27" t="s">
        <v>554</v>
      </c>
      <c r="X204" s="27" t="s">
        <v>293</v>
      </c>
      <c r="Y204" t="s">
        <v>293</v>
      </c>
      <c r="Z204" t="s">
        <v>299</v>
      </c>
      <c r="AA204" s="32"/>
      <c r="AB204">
        <v>15</v>
      </c>
      <c r="AC204">
        <f t="shared" si="14"/>
        <v>0</v>
      </c>
      <c r="AD204" t="str">
        <f t="shared" si="16"/>
        <v>Okmok:Jun 2007-10 Jul 2008</v>
      </c>
      <c r="AE204" t="s">
        <v>202</v>
      </c>
      <c r="AF204" t="s">
        <v>222</v>
      </c>
    </row>
    <row r="205" spans="1:42" x14ac:dyDescent="0.2">
      <c r="A205">
        <v>311290</v>
      </c>
      <c r="B205" s="8" t="s">
        <v>60</v>
      </c>
      <c r="C205" s="15">
        <v>20</v>
      </c>
      <c r="D205" s="8" t="s">
        <v>131</v>
      </c>
      <c r="E205" s="8" t="s">
        <v>190</v>
      </c>
      <c r="F205" s="19">
        <v>7</v>
      </c>
      <c r="I205">
        <v>12</v>
      </c>
      <c r="J205" s="10">
        <f>K205/(I205*PI())</f>
        <v>2.9974180948973621</v>
      </c>
      <c r="K205" s="15">
        <v>113</v>
      </c>
      <c r="L205" s="32">
        <v>1</v>
      </c>
      <c r="M205">
        <v>3</v>
      </c>
      <c r="N205">
        <v>3</v>
      </c>
      <c r="O205" s="42">
        <f>C205*F205</f>
        <v>140</v>
      </c>
      <c r="Q205" s="22">
        <v>2</v>
      </c>
      <c r="S205" s="16" t="s">
        <v>248</v>
      </c>
      <c r="T205" s="26" t="s">
        <v>238</v>
      </c>
      <c r="U205" s="26" t="s">
        <v>249</v>
      </c>
      <c r="V205" s="26" t="s">
        <v>251</v>
      </c>
      <c r="W205" s="26"/>
      <c r="X205" s="27" t="s">
        <v>293</v>
      </c>
      <c r="Y205" t="s">
        <v>293</v>
      </c>
      <c r="Z205" t="s">
        <v>299</v>
      </c>
      <c r="AA205" s="15">
        <v>20</v>
      </c>
      <c r="AB205" s="42"/>
      <c r="AC205">
        <f t="shared" si="14"/>
        <v>20</v>
      </c>
      <c r="AD205" t="str">
        <f t="shared" si="16"/>
        <v>Okmok:1997-2004</v>
      </c>
      <c r="AE205" t="s">
        <v>202</v>
      </c>
      <c r="AF205" t="s">
        <v>222</v>
      </c>
    </row>
    <row r="206" spans="1:42" x14ac:dyDescent="0.2">
      <c r="A206">
        <v>311290</v>
      </c>
      <c r="B206" t="s">
        <v>60</v>
      </c>
      <c r="C206" s="32"/>
      <c r="D206" s="8" t="s">
        <v>402</v>
      </c>
      <c r="E206" s="8" t="s">
        <v>364</v>
      </c>
      <c r="F206">
        <v>0.75068493150684934</v>
      </c>
      <c r="I206" s="10">
        <v>12</v>
      </c>
      <c r="J206" s="10"/>
      <c r="K206" s="38">
        <f>PI()*(I206/2)^2</f>
        <v>113.09733552923255</v>
      </c>
      <c r="L206" s="32">
        <v>1</v>
      </c>
      <c r="M206">
        <v>1.9</v>
      </c>
      <c r="N206">
        <v>1.9</v>
      </c>
      <c r="O206">
        <v>115</v>
      </c>
      <c r="Q206" s="34">
        <v>2</v>
      </c>
      <c r="T206" s="26" t="s">
        <v>238</v>
      </c>
      <c r="U206" s="26" t="s">
        <v>249</v>
      </c>
      <c r="V206" s="26" t="s">
        <v>251</v>
      </c>
      <c r="W206" s="27" t="s">
        <v>554</v>
      </c>
      <c r="X206" s="27" t="s">
        <v>294</v>
      </c>
      <c r="Y206" t="s">
        <v>287</v>
      </c>
      <c r="Z206" t="s">
        <v>297</v>
      </c>
      <c r="AA206" s="15">
        <f>-1*C206</f>
        <v>0</v>
      </c>
      <c r="AB206" s="42"/>
      <c r="AC206">
        <f t="shared" si="14"/>
        <v>0</v>
      </c>
      <c r="AD206" t="str">
        <f t="shared" si="16"/>
        <v>Okmok:Oct 2007-Jul 2008</v>
      </c>
      <c r="AE206" t="s">
        <v>202</v>
      </c>
      <c r="AF206" t="s">
        <v>222</v>
      </c>
    </row>
    <row r="207" spans="1:42" x14ac:dyDescent="0.2">
      <c r="A207">
        <v>222090</v>
      </c>
      <c r="B207" s="29" t="s">
        <v>36</v>
      </c>
      <c r="C207" s="18">
        <v>-2.5</v>
      </c>
      <c r="D207" s="2"/>
      <c r="E207" s="2"/>
      <c r="F207" s="2" t="s">
        <v>6</v>
      </c>
      <c r="G207" s="2" t="s">
        <v>7</v>
      </c>
      <c r="H207" s="2">
        <v>0</v>
      </c>
      <c r="K207" s="18">
        <v>114</v>
      </c>
      <c r="L207" s="32"/>
      <c r="M207" s="2"/>
      <c r="N207" s="2"/>
      <c r="O207" s="2"/>
      <c r="P207" s="2">
        <v>0</v>
      </c>
      <c r="Q207" s="23">
        <v>1</v>
      </c>
      <c r="S207" s="16" t="s">
        <v>271</v>
      </c>
      <c r="T207" s="26" t="s">
        <v>242</v>
      </c>
      <c r="U207" s="26" t="s">
        <v>254</v>
      </c>
      <c r="V207" s="26" t="s">
        <v>256</v>
      </c>
      <c r="W207" s="26"/>
      <c r="X207" s="26" t="s">
        <v>294</v>
      </c>
      <c r="Y207" s="26"/>
      <c r="Z207" s="26" t="s">
        <v>563</v>
      </c>
      <c r="AA207" s="18">
        <v>-2.5</v>
      </c>
      <c r="AB207" s="2"/>
      <c r="AC207">
        <f t="shared" si="14"/>
        <v>2.5</v>
      </c>
      <c r="AD207" t="str">
        <f t="shared" si="16"/>
        <v>Olkaria:-</v>
      </c>
      <c r="AE207" t="s">
        <v>40</v>
      </c>
    </row>
    <row r="208" spans="1:42" x14ac:dyDescent="0.2">
      <c r="A208">
        <v>342110</v>
      </c>
      <c r="B208" s="6" t="s">
        <v>216</v>
      </c>
      <c r="C208" s="32"/>
      <c r="D208" s="8" t="s">
        <v>447</v>
      </c>
      <c r="E208" s="8" t="s">
        <v>450</v>
      </c>
      <c r="F208">
        <v>3.8630136986301369</v>
      </c>
      <c r="O208">
        <v>30</v>
      </c>
      <c r="Q208" s="34">
        <v>2</v>
      </c>
      <c r="T208" s="16" t="s">
        <v>235</v>
      </c>
      <c r="U208" s="16" t="s">
        <v>252</v>
      </c>
      <c r="V208" s="16" t="s">
        <v>251</v>
      </c>
      <c r="W208" s="27" t="s">
        <v>554</v>
      </c>
      <c r="X208" s="27" t="s">
        <v>294</v>
      </c>
      <c r="Y208" t="s">
        <v>290</v>
      </c>
      <c r="Z208" t="s">
        <v>308</v>
      </c>
      <c r="AA208" s="15">
        <f>-1*C208</f>
        <v>0</v>
      </c>
      <c r="AB208" s="42"/>
      <c r="AC208">
        <f t="shared" si="14"/>
        <v>0</v>
      </c>
      <c r="AD208" t="str">
        <f t="shared" si="16"/>
        <v>Pacaya:31 May 2010-10 April 2014</v>
      </c>
      <c r="AE208" t="s">
        <v>202</v>
      </c>
      <c r="AF208" t="s">
        <v>222</v>
      </c>
    </row>
    <row r="209" spans="1:42" x14ac:dyDescent="0.2">
      <c r="A209">
        <v>342110</v>
      </c>
      <c r="B209" s="6" t="s">
        <v>216</v>
      </c>
      <c r="C209" s="32"/>
      <c r="D209" s="8" t="s">
        <v>447</v>
      </c>
      <c r="E209" s="8" t="s">
        <v>449</v>
      </c>
      <c r="F209">
        <v>2.7726027397260276</v>
      </c>
      <c r="O209">
        <v>35</v>
      </c>
      <c r="Q209" s="34">
        <v>2</v>
      </c>
      <c r="T209" s="16" t="s">
        <v>235</v>
      </c>
      <c r="U209" s="16" t="s">
        <v>252</v>
      </c>
      <c r="V209" s="16" t="s">
        <v>251</v>
      </c>
      <c r="W209" s="27" t="s">
        <v>554</v>
      </c>
      <c r="X209" s="27" t="s">
        <v>294</v>
      </c>
      <c r="Y209" s="8" t="s">
        <v>290</v>
      </c>
      <c r="Z209" t="s">
        <v>359</v>
      </c>
      <c r="AA209" s="15">
        <f>-1*C209</f>
        <v>0</v>
      </c>
      <c r="AB209" s="42"/>
      <c r="AC209">
        <f t="shared" si="14"/>
        <v>0</v>
      </c>
      <c r="AD209" t="str">
        <f t="shared" si="16"/>
        <v>Pacaya:31 May 2010-8 March 2013</v>
      </c>
      <c r="AE209" t="s">
        <v>202</v>
      </c>
      <c r="AF209" t="s">
        <v>222</v>
      </c>
    </row>
    <row r="210" spans="1:42" x14ac:dyDescent="0.2">
      <c r="A210">
        <v>342110</v>
      </c>
      <c r="B210" s="6" t="s">
        <v>216</v>
      </c>
      <c r="C210" s="32"/>
      <c r="D210" s="8" t="s">
        <v>447</v>
      </c>
      <c r="E210" s="8" t="s">
        <v>448</v>
      </c>
      <c r="F210">
        <v>0.76986301369863008</v>
      </c>
      <c r="O210">
        <v>20</v>
      </c>
      <c r="Q210" s="34">
        <v>2</v>
      </c>
      <c r="T210" s="16" t="s">
        <v>235</v>
      </c>
      <c r="U210" s="16" t="s">
        <v>252</v>
      </c>
      <c r="V210" s="16" t="s">
        <v>251</v>
      </c>
      <c r="W210" s="27" t="s">
        <v>554</v>
      </c>
      <c r="X210" s="27" t="s">
        <v>294</v>
      </c>
      <c r="Y210" t="s">
        <v>290</v>
      </c>
      <c r="Z210" t="s">
        <v>358</v>
      </c>
      <c r="AA210" s="15">
        <f>-1*C210</f>
        <v>0</v>
      </c>
      <c r="AB210" s="42"/>
      <c r="AC210">
        <f t="shared" si="14"/>
        <v>0</v>
      </c>
      <c r="AD210" t="str">
        <f t="shared" si="16"/>
        <v>Pacaya:31 May 2010-8 March 2011</v>
      </c>
      <c r="AE210" t="s">
        <v>202</v>
      </c>
      <c r="AF210" t="s">
        <v>222</v>
      </c>
    </row>
    <row r="211" spans="1:42" s="43" customFormat="1" x14ac:dyDescent="0.2">
      <c r="A211">
        <v>342110</v>
      </c>
      <c r="B211" s="6" t="s">
        <v>216</v>
      </c>
      <c r="C211" s="32"/>
      <c r="D211" s="8" t="s">
        <v>447</v>
      </c>
      <c r="E211" s="8" t="s">
        <v>451</v>
      </c>
      <c r="F211">
        <v>9.8630136986301367E-2</v>
      </c>
      <c r="G211"/>
      <c r="H211"/>
      <c r="I211">
        <v>0.5</v>
      </c>
      <c r="J211"/>
      <c r="K211" s="32">
        <v>0.79</v>
      </c>
      <c r="L211" s="32">
        <v>1</v>
      </c>
      <c r="M211"/>
      <c r="N211"/>
      <c r="O211">
        <v>16</v>
      </c>
      <c r="P211"/>
      <c r="Q211" s="34">
        <v>2</v>
      </c>
      <c r="R211"/>
      <c r="S211"/>
      <c r="T211" s="16" t="s">
        <v>235</v>
      </c>
      <c r="U211" s="16" t="s">
        <v>252</v>
      </c>
      <c r="V211" s="16" t="s">
        <v>251</v>
      </c>
      <c r="W211" s="27" t="s">
        <v>554</v>
      </c>
      <c r="X211" s="27" t="s">
        <v>293</v>
      </c>
      <c r="Y211" t="s">
        <v>293</v>
      </c>
      <c r="Z211" t="s">
        <v>302</v>
      </c>
      <c r="AA211" s="32"/>
      <c r="AB211">
        <v>16</v>
      </c>
      <c r="AC211">
        <f t="shared" si="14"/>
        <v>0</v>
      </c>
      <c r="AD211" t="str">
        <f t="shared" si="16"/>
        <v>Pacaya:31 May 2010-6 July 2010</v>
      </c>
      <c r="AE211" t="s">
        <v>202</v>
      </c>
      <c r="AF211" t="s">
        <v>222</v>
      </c>
      <c r="AG211"/>
      <c r="AH211"/>
      <c r="AI211"/>
      <c r="AJ211"/>
      <c r="AK211"/>
      <c r="AL211"/>
      <c r="AM211"/>
      <c r="AN211"/>
      <c r="AO211"/>
      <c r="AP211"/>
    </row>
    <row r="212" spans="1:42" x14ac:dyDescent="0.2">
      <c r="A212">
        <v>342110</v>
      </c>
      <c r="B212" s="6" t="s">
        <v>216</v>
      </c>
      <c r="C212" s="32"/>
      <c r="D212" s="8" t="s">
        <v>445</v>
      </c>
      <c r="E212" s="8" t="s">
        <v>446</v>
      </c>
      <c r="F212">
        <v>5.4794520547945206E-3</v>
      </c>
      <c r="O212">
        <v>300</v>
      </c>
      <c r="Q212" s="34">
        <v>2</v>
      </c>
      <c r="T212" s="16" t="s">
        <v>235</v>
      </c>
      <c r="U212" s="16" t="s">
        <v>252</v>
      </c>
      <c r="V212" s="16" t="s">
        <v>251</v>
      </c>
      <c r="W212" s="27" t="s">
        <v>554</v>
      </c>
      <c r="X212" s="27" t="s">
        <v>294</v>
      </c>
      <c r="Y212" s="8" t="s">
        <v>290</v>
      </c>
      <c r="Z212" t="s">
        <v>358</v>
      </c>
      <c r="AA212" s="15">
        <f>-1*C212</f>
        <v>0</v>
      </c>
      <c r="AB212" s="42"/>
      <c r="AC212">
        <f t="shared" si="14"/>
        <v>0</v>
      </c>
      <c r="AD212" t="str">
        <f t="shared" si="16"/>
        <v>Pacaya:27 May 2010-29 May 2010</v>
      </c>
      <c r="AE212" t="s">
        <v>202</v>
      </c>
      <c r="AF212" t="s">
        <v>222</v>
      </c>
    </row>
    <row r="213" spans="1:42" x14ac:dyDescent="0.2">
      <c r="A213">
        <v>284170</v>
      </c>
      <c r="B213" s="8" t="s">
        <v>104</v>
      </c>
      <c r="C213" s="15">
        <v>3</v>
      </c>
      <c r="D213" s="8" t="s">
        <v>135</v>
      </c>
      <c r="E213" s="8" t="s">
        <v>182</v>
      </c>
      <c r="F213" s="19">
        <v>6</v>
      </c>
      <c r="J213" s="10"/>
      <c r="O213" s="45">
        <f>C213*F213</f>
        <v>18</v>
      </c>
      <c r="Q213" s="22">
        <v>1</v>
      </c>
      <c r="S213" s="16" t="s">
        <v>275</v>
      </c>
      <c r="T213" s="26" t="s">
        <v>236</v>
      </c>
      <c r="U213" s="26" t="s">
        <v>268</v>
      </c>
      <c r="V213" s="26" t="s">
        <v>251</v>
      </c>
      <c r="W213" s="26"/>
      <c r="X213" s="27" t="s">
        <v>294</v>
      </c>
      <c r="Y213" t="s">
        <v>287</v>
      </c>
      <c r="AA213" s="15">
        <f>-1*C213</f>
        <v>-3</v>
      </c>
      <c r="AB213" s="42"/>
      <c r="AC213">
        <f t="shared" si="14"/>
        <v>3</v>
      </c>
      <c r="AD213" t="str">
        <f t="shared" si="16"/>
        <v>Pagan:2004-2010</v>
      </c>
      <c r="AE213" t="s">
        <v>202</v>
      </c>
      <c r="AF213" t="s">
        <v>222</v>
      </c>
    </row>
    <row r="214" spans="1:42" x14ac:dyDescent="0.2">
      <c r="A214">
        <v>222053</v>
      </c>
      <c r="B214" t="s">
        <v>208</v>
      </c>
      <c r="C214" s="32"/>
      <c r="D214" s="8" t="s">
        <v>523</v>
      </c>
      <c r="E214" s="8" t="s">
        <v>524</v>
      </c>
      <c r="F214">
        <v>0.76712328767123283</v>
      </c>
      <c r="I214">
        <v>5</v>
      </c>
      <c r="K214">
        <v>20</v>
      </c>
      <c r="L214" s="32">
        <v>1</v>
      </c>
      <c r="O214">
        <v>21.3</v>
      </c>
      <c r="Q214" s="34">
        <v>1</v>
      </c>
      <c r="T214" s="16" t="s">
        <v>238</v>
      </c>
      <c r="U214" s="16" t="s">
        <v>254</v>
      </c>
      <c r="V214" s="16" t="s">
        <v>255</v>
      </c>
      <c r="W214" s="27" t="s">
        <v>554</v>
      </c>
      <c r="X214" s="27" t="s">
        <v>293</v>
      </c>
      <c r="Y214" t="s">
        <v>286</v>
      </c>
      <c r="Z214" t="s">
        <v>304</v>
      </c>
      <c r="AA214" s="32"/>
      <c r="AB214">
        <v>21.3</v>
      </c>
      <c r="AC214">
        <f t="shared" si="14"/>
        <v>0</v>
      </c>
      <c r="AD214" t="str">
        <f t="shared" si="16"/>
        <v>Paka:29 May 2006-5 Mar 2007</v>
      </c>
      <c r="AE214" t="s">
        <v>202</v>
      </c>
      <c r="AF214" t="s">
        <v>222</v>
      </c>
    </row>
    <row r="215" spans="1:42" x14ac:dyDescent="0.2">
      <c r="A215">
        <v>211071</v>
      </c>
      <c r="B215" t="s">
        <v>348</v>
      </c>
      <c r="C215" s="32"/>
      <c r="D215" s="8" t="s">
        <v>525</v>
      </c>
      <c r="E215" s="8" t="s">
        <v>526</v>
      </c>
      <c r="F215">
        <v>3.547945205479452</v>
      </c>
      <c r="O215">
        <v>7</v>
      </c>
      <c r="Q215" s="34">
        <v>1</v>
      </c>
      <c r="T215" s="16" t="s">
        <v>238</v>
      </c>
      <c r="U215" s="16" t="s">
        <v>254</v>
      </c>
      <c r="V215" s="16" t="s">
        <v>256</v>
      </c>
      <c r="W215" s="27" t="s">
        <v>554</v>
      </c>
      <c r="X215" s="27" t="s">
        <v>294</v>
      </c>
      <c r="Y215" t="s">
        <v>287</v>
      </c>
      <c r="Z215" t="s">
        <v>361</v>
      </c>
      <c r="AA215" s="15">
        <f>-1*C215</f>
        <v>0</v>
      </c>
      <c r="AB215" s="42"/>
      <c r="AC215">
        <f t="shared" si="14"/>
        <v>0</v>
      </c>
      <c r="AD215" t="str">
        <f t="shared" si="16"/>
        <v>Pantelleria:15 Aug 1995-2 Mar 1999</v>
      </c>
      <c r="AE215" t="s">
        <v>202</v>
      </c>
      <c r="AF215" t="s">
        <v>222</v>
      </c>
    </row>
    <row r="216" spans="1:42" x14ac:dyDescent="0.2">
      <c r="A216">
        <v>382020</v>
      </c>
      <c r="B216" s="8" t="s">
        <v>105</v>
      </c>
      <c r="C216" s="15">
        <v>1.2</v>
      </c>
      <c r="D216" s="8" t="s">
        <v>139</v>
      </c>
      <c r="E216" s="8" t="s">
        <v>179</v>
      </c>
      <c r="F216" s="19">
        <v>3</v>
      </c>
      <c r="J216" s="10"/>
      <c r="O216" s="45">
        <f t="shared" ref="O216:O222" si="17">C216*F216</f>
        <v>3.5999999999999996</v>
      </c>
      <c r="Q216" s="22">
        <v>1</v>
      </c>
      <c r="S216" s="16" t="s">
        <v>282</v>
      </c>
      <c r="T216" s="26" t="s">
        <v>234</v>
      </c>
      <c r="U216" s="26" t="s">
        <v>258</v>
      </c>
      <c r="V216" s="26" t="s">
        <v>251</v>
      </c>
      <c r="W216" s="26"/>
      <c r="X216" s="27" t="s">
        <v>294</v>
      </c>
      <c r="Y216" t="s">
        <v>290</v>
      </c>
      <c r="AA216" s="15">
        <f>-1*C216</f>
        <v>-1.2</v>
      </c>
      <c r="AB216" s="42"/>
      <c r="AC216">
        <f t="shared" si="14"/>
        <v>1.2</v>
      </c>
      <c r="AD216" t="str">
        <f t="shared" si="16"/>
        <v>Pico:2006-2009</v>
      </c>
      <c r="AE216" t="s">
        <v>202</v>
      </c>
      <c r="AF216" t="s">
        <v>222</v>
      </c>
    </row>
    <row r="217" spans="1:42" x14ac:dyDescent="0.2">
      <c r="A217">
        <v>382020</v>
      </c>
      <c r="B217" s="8" t="s">
        <v>105</v>
      </c>
      <c r="C217" s="15">
        <v>1.2</v>
      </c>
      <c r="D217" s="8" t="s">
        <v>139</v>
      </c>
      <c r="E217" s="8" t="s">
        <v>179</v>
      </c>
      <c r="F217" s="19">
        <v>3</v>
      </c>
      <c r="J217" s="10"/>
      <c r="O217" s="45">
        <f t="shared" si="17"/>
        <v>3.5999999999999996</v>
      </c>
      <c r="Q217" s="22">
        <v>1</v>
      </c>
      <c r="S217" s="16" t="s">
        <v>282</v>
      </c>
      <c r="T217" s="26" t="s">
        <v>234</v>
      </c>
      <c r="U217" s="26" t="s">
        <v>258</v>
      </c>
      <c r="V217" s="26" t="s">
        <v>251</v>
      </c>
      <c r="W217" s="26"/>
      <c r="X217" s="27" t="s">
        <v>294</v>
      </c>
      <c r="Y217" t="s">
        <v>290</v>
      </c>
      <c r="Z217" t="s">
        <v>315</v>
      </c>
      <c r="AA217" s="15">
        <f>-1*C217</f>
        <v>-1.2</v>
      </c>
      <c r="AB217" s="42"/>
      <c r="AC217">
        <f t="shared" si="14"/>
        <v>1.2</v>
      </c>
      <c r="AD217" t="str">
        <f t="shared" si="16"/>
        <v>Pico:2006-2009</v>
      </c>
      <c r="AE217" t="s">
        <v>202</v>
      </c>
      <c r="AF217" t="s">
        <v>222</v>
      </c>
    </row>
    <row r="218" spans="1:42" x14ac:dyDescent="0.2">
      <c r="A218">
        <v>355090</v>
      </c>
      <c r="B218" s="8" t="s">
        <v>106</v>
      </c>
      <c r="C218" s="15">
        <v>4</v>
      </c>
      <c r="D218" s="8" t="s">
        <v>171</v>
      </c>
      <c r="E218" s="8" t="s">
        <v>200</v>
      </c>
      <c r="F218">
        <f>140/365</f>
        <v>0.38356164383561642</v>
      </c>
      <c r="I218">
        <v>5</v>
      </c>
      <c r="J218" s="10">
        <f>K218/(I218*PI())</f>
        <v>1.2732395447351628</v>
      </c>
      <c r="K218" s="39">
        <v>20</v>
      </c>
      <c r="L218" s="32">
        <v>1</v>
      </c>
      <c r="O218" s="45">
        <f t="shared" si="17"/>
        <v>1.5342465753424657</v>
      </c>
      <c r="Q218" s="22">
        <v>1</v>
      </c>
      <c r="S218" s="16" t="s">
        <v>279</v>
      </c>
      <c r="T218" s="26" t="s">
        <v>234</v>
      </c>
      <c r="U218" s="26" t="s">
        <v>252</v>
      </c>
      <c r="V218" s="26" t="s">
        <v>253</v>
      </c>
      <c r="W218" s="26"/>
      <c r="X218" s="27" t="s">
        <v>293</v>
      </c>
      <c r="Y218" t="s">
        <v>293</v>
      </c>
      <c r="Z218" s="27" t="s">
        <v>563</v>
      </c>
      <c r="AA218" s="15">
        <v>4</v>
      </c>
      <c r="AB218" s="45"/>
      <c r="AC218">
        <f t="shared" si="14"/>
        <v>4</v>
      </c>
      <c r="AD218" t="str">
        <f t="shared" si="16"/>
        <v>Putana:9/13/2009-1/31/2010</v>
      </c>
      <c r="AE218" t="s">
        <v>202</v>
      </c>
      <c r="AF218" t="s">
        <v>222</v>
      </c>
    </row>
    <row r="219" spans="1:42" x14ac:dyDescent="0.2">
      <c r="A219">
        <v>357150</v>
      </c>
      <c r="B219" s="8" t="s">
        <v>61</v>
      </c>
      <c r="C219" s="15">
        <v>3</v>
      </c>
      <c r="D219" s="8" t="s">
        <v>152</v>
      </c>
      <c r="E219" s="8" t="s">
        <v>133</v>
      </c>
      <c r="F219" s="19">
        <v>3</v>
      </c>
      <c r="H219" t="s">
        <v>543</v>
      </c>
      <c r="I219">
        <v>10</v>
      </c>
      <c r="J219" s="10">
        <v>4</v>
      </c>
      <c r="K219" s="39">
        <v>31</v>
      </c>
      <c r="L219">
        <f>I219/J219</f>
        <v>2.5</v>
      </c>
      <c r="O219" s="42">
        <f t="shared" si="17"/>
        <v>9</v>
      </c>
      <c r="Q219" s="22">
        <v>2</v>
      </c>
      <c r="S219" s="16" t="s">
        <v>279</v>
      </c>
      <c r="T219" s="26" t="s">
        <v>234</v>
      </c>
      <c r="U219" s="26" t="s">
        <v>252</v>
      </c>
      <c r="V219" s="26" t="s">
        <v>250</v>
      </c>
      <c r="W219" s="26"/>
      <c r="X219" s="27" t="s">
        <v>294</v>
      </c>
      <c r="Y219" t="s">
        <v>290</v>
      </c>
      <c r="Z219" s="27" t="s">
        <v>563</v>
      </c>
      <c r="AA219" s="15">
        <f>-1*C219</f>
        <v>-3</v>
      </c>
      <c r="AB219" s="42"/>
      <c r="AC219">
        <f t="shared" si="14"/>
        <v>3</v>
      </c>
      <c r="AD219" t="str">
        <f t="shared" si="16"/>
        <v>Puyehue-Cordón Caulle:1996-1999</v>
      </c>
      <c r="AE219" t="s">
        <v>202</v>
      </c>
      <c r="AF219" t="s">
        <v>222</v>
      </c>
    </row>
    <row r="220" spans="1:42" x14ac:dyDescent="0.2">
      <c r="A220">
        <v>357150</v>
      </c>
      <c r="B220" s="8" t="s">
        <v>61</v>
      </c>
      <c r="C220" s="15">
        <v>3</v>
      </c>
      <c r="D220" s="8" t="s">
        <v>134</v>
      </c>
      <c r="E220" s="8" t="s">
        <v>139</v>
      </c>
      <c r="F220" s="19">
        <v>3</v>
      </c>
      <c r="H220" t="s">
        <v>543</v>
      </c>
      <c r="J220" s="10"/>
      <c r="K220" s="40"/>
      <c r="O220" s="45">
        <f t="shared" si="17"/>
        <v>9</v>
      </c>
      <c r="Q220" s="22">
        <v>2</v>
      </c>
      <c r="S220" s="16" t="s">
        <v>279</v>
      </c>
      <c r="T220" s="26" t="s">
        <v>234</v>
      </c>
      <c r="U220" s="26" t="s">
        <v>252</v>
      </c>
      <c r="V220" s="26" t="s">
        <v>250</v>
      </c>
      <c r="W220" s="26"/>
      <c r="X220" s="27" t="s">
        <v>293</v>
      </c>
      <c r="Y220" t="s">
        <v>293</v>
      </c>
      <c r="AA220" s="15">
        <v>3</v>
      </c>
      <c r="AB220" s="45"/>
      <c r="AC220">
        <f t="shared" si="14"/>
        <v>3</v>
      </c>
      <c r="AD220" t="str">
        <f t="shared" si="16"/>
        <v>Puyehue-Cordón Caulle:2003-2006</v>
      </c>
      <c r="AE220" t="s">
        <v>202</v>
      </c>
      <c r="AF220" t="s">
        <v>222</v>
      </c>
    </row>
    <row r="221" spans="1:42" x14ac:dyDescent="0.2">
      <c r="A221">
        <v>357150</v>
      </c>
      <c r="B221" s="8" t="s">
        <v>61</v>
      </c>
      <c r="C221" s="15">
        <v>16</v>
      </c>
      <c r="D221" s="8" t="s">
        <v>154</v>
      </c>
      <c r="E221" s="8" t="s">
        <v>192</v>
      </c>
      <c r="F221" s="19">
        <v>2</v>
      </c>
      <c r="I221">
        <v>15</v>
      </c>
      <c r="J221" s="10">
        <v>10</v>
      </c>
      <c r="K221" s="39">
        <v>118</v>
      </c>
      <c r="L221">
        <f>I221/J221</f>
        <v>1.5</v>
      </c>
      <c r="M221">
        <v>4.5</v>
      </c>
      <c r="N221">
        <v>6</v>
      </c>
      <c r="O221" s="42">
        <f t="shared" si="17"/>
        <v>32</v>
      </c>
      <c r="Q221" s="22">
        <v>2</v>
      </c>
      <c r="S221" s="16" t="s">
        <v>279</v>
      </c>
      <c r="T221" s="26" t="s">
        <v>234</v>
      </c>
      <c r="U221" s="26" t="s">
        <v>252</v>
      </c>
      <c r="V221" s="26" t="s">
        <v>250</v>
      </c>
      <c r="W221" s="26"/>
      <c r="X221" s="27" t="s">
        <v>293</v>
      </c>
      <c r="Y221" t="s">
        <v>293</v>
      </c>
      <c r="Z221" t="s">
        <v>313</v>
      </c>
      <c r="AA221" s="15">
        <v>16</v>
      </c>
      <c r="AB221" s="42"/>
      <c r="AC221">
        <f t="shared" si="14"/>
        <v>16</v>
      </c>
      <c r="AD221" t="str">
        <f t="shared" si="16"/>
        <v>Puyehue-Cordón Caulle:2013-2015</v>
      </c>
      <c r="AE221" t="s">
        <v>202</v>
      </c>
      <c r="AF221" t="s">
        <v>222</v>
      </c>
    </row>
    <row r="222" spans="1:42" x14ac:dyDescent="0.2">
      <c r="A222">
        <v>357150</v>
      </c>
      <c r="B222" s="8" t="s">
        <v>61</v>
      </c>
      <c r="C222" s="15">
        <v>20</v>
      </c>
      <c r="D222" s="8" t="s">
        <v>148</v>
      </c>
      <c r="E222" s="8" t="s">
        <v>185</v>
      </c>
      <c r="F222" s="19">
        <v>2</v>
      </c>
      <c r="H222" t="s">
        <v>543</v>
      </c>
      <c r="I222">
        <v>30</v>
      </c>
      <c r="J222" s="10">
        <v>18</v>
      </c>
      <c r="K222" s="39">
        <v>20</v>
      </c>
      <c r="L222">
        <f>I222/J222</f>
        <v>1.6666666666666667</v>
      </c>
      <c r="M222">
        <v>5</v>
      </c>
      <c r="N222">
        <v>9</v>
      </c>
      <c r="O222" s="42">
        <f t="shared" si="17"/>
        <v>40</v>
      </c>
      <c r="Q222" s="22">
        <v>2</v>
      </c>
      <c r="S222" s="16" t="s">
        <v>279</v>
      </c>
      <c r="T222" s="26" t="s">
        <v>234</v>
      </c>
      <c r="U222" s="26" t="s">
        <v>252</v>
      </c>
      <c r="V222" s="26" t="s">
        <v>250</v>
      </c>
      <c r="W222" s="26"/>
      <c r="X222" s="27" t="s">
        <v>293</v>
      </c>
      <c r="Y222" t="s">
        <v>293</v>
      </c>
      <c r="Z222" t="s">
        <v>299</v>
      </c>
      <c r="AA222" s="15">
        <v>20</v>
      </c>
      <c r="AB222" s="42"/>
      <c r="AC222">
        <f t="shared" si="14"/>
        <v>20</v>
      </c>
      <c r="AD222" t="str">
        <f t="shared" si="16"/>
        <v>Puyehue-Cordón Caulle:2007-2009</v>
      </c>
      <c r="AE222" t="s">
        <v>202</v>
      </c>
      <c r="AF222" t="s">
        <v>222</v>
      </c>
    </row>
    <row r="223" spans="1:42" x14ac:dyDescent="0.2">
      <c r="A223">
        <v>357150</v>
      </c>
      <c r="B223" t="s">
        <v>61</v>
      </c>
      <c r="C223" s="32"/>
      <c r="D223" s="8" t="s">
        <v>454</v>
      </c>
      <c r="E223" s="8" t="s">
        <v>455</v>
      </c>
      <c r="F223">
        <f>60/365</f>
        <v>0.16438356164383561</v>
      </c>
      <c r="I223">
        <v>8</v>
      </c>
      <c r="K223" s="40">
        <v>50</v>
      </c>
      <c r="L223" s="32">
        <v>2</v>
      </c>
      <c r="M223">
        <v>4</v>
      </c>
      <c r="N223">
        <v>4</v>
      </c>
      <c r="O223">
        <v>5</v>
      </c>
      <c r="Q223" s="34">
        <v>2</v>
      </c>
      <c r="T223" s="26" t="s">
        <v>234</v>
      </c>
      <c r="U223" s="26" t="s">
        <v>252</v>
      </c>
      <c r="V223" s="26" t="s">
        <v>250</v>
      </c>
      <c r="W223" s="27" t="s">
        <v>554</v>
      </c>
      <c r="X223" s="27" t="s">
        <v>293</v>
      </c>
      <c r="Y223" t="s">
        <v>293</v>
      </c>
      <c r="Z223" t="s">
        <v>299</v>
      </c>
      <c r="AA223" s="32"/>
      <c r="AB223">
        <v>5</v>
      </c>
      <c r="AC223">
        <f t="shared" ref="AC223:AC254" si="18">ABS(C223)</f>
        <v>0</v>
      </c>
      <c r="AD223" t="str">
        <f t="shared" si="16"/>
        <v>Puyehue-Cordón Caulle:3/9/2011-5/8/2011</v>
      </c>
      <c r="AE223" t="s">
        <v>202</v>
      </c>
      <c r="AF223" t="s">
        <v>222</v>
      </c>
    </row>
    <row r="224" spans="1:42" x14ac:dyDescent="0.2">
      <c r="A224">
        <v>357150</v>
      </c>
      <c r="B224" s="8" t="s">
        <v>61</v>
      </c>
      <c r="C224" s="15">
        <v>45</v>
      </c>
      <c r="D224" s="8" t="s">
        <v>153</v>
      </c>
      <c r="E224" s="8" t="s">
        <v>154</v>
      </c>
      <c r="F224" s="19">
        <v>1</v>
      </c>
      <c r="H224" t="s">
        <v>543</v>
      </c>
      <c r="I224">
        <v>15</v>
      </c>
      <c r="J224" s="10">
        <v>10</v>
      </c>
      <c r="K224" s="15">
        <v>118</v>
      </c>
      <c r="L224">
        <f>I224/J224</f>
        <v>1.5</v>
      </c>
      <c r="M224">
        <v>4.5</v>
      </c>
      <c r="N224">
        <v>6</v>
      </c>
      <c r="O224" s="42">
        <f>C224*F224</f>
        <v>45</v>
      </c>
      <c r="Q224" s="22">
        <v>2</v>
      </c>
      <c r="S224" s="16" t="s">
        <v>279</v>
      </c>
      <c r="T224" s="26" t="s">
        <v>234</v>
      </c>
      <c r="U224" s="26" t="s">
        <v>252</v>
      </c>
      <c r="V224" s="26" t="s">
        <v>250</v>
      </c>
      <c r="W224" s="26"/>
      <c r="X224" s="27" t="s">
        <v>293</v>
      </c>
      <c r="Y224" s="8" t="s">
        <v>293</v>
      </c>
      <c r="Z224" t="s">
        <v>313</v>
      </c>
      <c r="AA224" s="15">
        <v>45</v>
      </c>
      <c r="AB224" s="42"/>
      <c r="AC224">
        <f t="shared" si="18"/>
        <v>45</v>
      </c>
      <c r="AD224" t="str">
        <f t="shared" si="16"/>
        <v>Puyehue-Cordón Caulle:2012-2013</v>
      </c>
      <c r="AE224" t="s">
        <v>202</v>
      </c>
      <c r="AF224" t="s">
        <v>222</v>
      </c>
    </row>
    <row r="225" spans="1:32" x14ac:dyDescent="0.2">
      <c r="A225">
        <v>357150</v>
      </c>
      <c r="B225" t="s">
        <v>61</v>
      </c>
      <c r="C225" s="32"/>
      <c r="D225" s="8" t="s">
        <v>452</v>
      </c>
      <c r="E225" s="8" t="s">
        <v>453</v>
      </c>
      <c r="F225">
        <f>50/365</f>
        <v>0.13698630136986301</v>
      </c>
      <c r="I225">
        <v>4</v>
      </c>
      <c r="K225">
        <v>13</v>
      </c>
      <c r="L225" s="32">
        <v>1</v>
      </c>
      <c r="O225">
        <v>10</v>
      </c>
      <c r="Q225" s="34">
        <v>2</v>
      </c>
      <c r="T225" s="26" t="s">
        <v>234</v>
      </c>
      <c r="U225" s="26" t="s">
        <v>252</v>
      </c>
      <c r="V225" s="26" t="s">
        <v>250</v>
      </c>
      <c r="W225" s="27" t="s">
        <v>554</v>
      </c>
      <c r="X225" s="27" t="s">
        <v>293</v>
      </c>
      <c r="Y225" t="s">
        <v>293</v>
      </c>
      <c r="Z225" t="s">
        <v>307</v>
      </c>
      <c r="AA225" s="32"/>
      <c r="AB225">
        <v>10</v>
      </c>
      <c r="AC225">
        <f t="shared" si="18"/>
        <v>0</v>
      </c>
      <c r="AD225" t="str">
        <f t="shared" si="16"/>
        <v>Puyehue-Cordón Caulle:2/10/2010-3/31/2010</v>
      </c>
      <c r="AE225" t="s">
        <v>202</v>
      </c>
      <c r="AF225" t="s">
        <v>222</v>
      </c>
    </row>
    <row r="226" spans="1:32" x14ac:dyDescent="0.2">
      <c r="A226">
        <v>252140</v>
      </c>
      <c r="B226" s="6" t="s">
        <v>62</v>
      </c>
      <c r="C226" s="32"/>
      <c r="D226" s="8" t="s">
        <v>456</v>
      </c>
      <c r="E226" s="8" t="s">
        <v>457</v>
      </c>
      <c r="F226">
        <v>2.1643835616438358</v>
      </c>
      <c r="O226">
        <v>15</v>
      </c>
      <c r="Q226" s="34">
        <v>2</v>
      </c>
      <c r="T226" s="26" t="s">
        <v>244</v>
      </c>
      <c r="U226" s="26" t="s">
        <v>252</v>
      </c>
      <c r="V226" s="26" t="s">
        <v>253</v>
      </c>
      <c r="W226" s="27" t="s">
        <v>554</v>
      </c>
      <c r="X226" s="27" t="s">
        <v>293</v>
      </c>
      <c r="Y226" t="s">
        <v>293</v>
      </c>
      <c r="AA226" s="32"/>
      <c r="AB226">
        <v>15</v>
      </c>
      <c r="AC226">
        <f t="shared" si="18"/>
        <v>0</v>
      </c>
      <c r="AD226" t="str">
        <f t="shared" si="16"/>
        <v>Rabaul:25 Jan 2010-25 March 2012</v>
      </c>
      <c r="AE226" t="s">
        <v>202</v>
      </c>
      <c r="AF226" t="s">
        <v>222</v>
      </c>
    </row>
    <row r="227" spans="1:32" x14ac:dyDescent="0.2">
      <c r="A227">
        <v>252140</v>
      </c>
      <c r="B227" s="8" t="s">
        <v>62</v>
      </c>
      <c r="C227" s="15">
        <v>8</v>
      </c>
      <c r="D227" s="8" t="s">
        <v>148</v>
      </c>
      <c r="E227" s="8" t="s">
        <v>163</v>
      </c>
      <c r="F227" s="19">
        <v>4</v>
      </c>
      <c r="I227">
        <v>1</v>
      </c>
      <c r="J227" s="10"/>
      <c r="K227" s="15">
        <v>0.7</v>
      </c>
      <c r="L227" s="32">
        <v>1</v>
      </c>
      <c r="O227" s="45">
        <f t="shared" ref="O227:O233" si="19">C227*F227</f>
        <v>32</v>
      </c>
      <c r="Q227" s="22">
        <v>2</v>
      </c>
      <c r="S227" s="16" t="s">
        <v>274</v>
      </c>
      <c r="T227" s="26" t="s">
        <v>244</v>
      </c>
      <c r="U227" s="26" t="s">
        <v>252</v>
      </c>
      <c r="V227" s="26" t="s">
        <v>253</v>
      </c>
      <c r="W227" s="26"/>
      <c r="X227" s="27" t="s">
        <v>294</v>
      </c>
      <c r="Y227" t="s">
        <v>287</v>
      </c>
      <c r="Z227" s="27" t="s">
        <v>563</v>
      </c>
      <c r="AA227" s="15">
        <f>-1*C227</f>
        <v>-8</v>
      </c>
      <c r="AB227" s="42"/>
      <c r="AC227">
        <f t="shared" si="18"/>
        <v>8</v>
      </c>
      <c r="AD227" t="str">
        <f t="shared" si="16"/>
        <v>Rabaul:2007-2011</v>
      </c>
      <c r="AE227" t="s">
        <v>202</v>
      </c>
      <c r="AF227" t="s">
        <v>222</v>
      </c>
    </row>
    <row r="228" spans="1:32" x14ac:dyDescent="0.2">
      <c r="A228">
        <v>311280</v>
      </c>
      <c r="B228" s="8" t="s">
        <v>107</v>
      </c>
      <c r="C228" s="15">
        <v>0.5</v>
      </c>
      <c r="D228" s="8" t="s">
        <v>134</v>
      </c>
      <c r="E228" s="8" t="s">
        <v>182</v>
      </c>
      <c r="F228" s="19">
        <v>7</v>
      </c>
      <c r="J228" s="10"/>
      <c r="K228" s="15">
        <v>7</v>
      </c>
      <c r="O228" s="45">
        <f t="shared" si="19"/>
        <v>3.5</v>
      </c>
      <c r="Q228" s="22">
        <v>1</v>
      </c>
      <c r="S228" s="16" t="s">
        <v>248</v>
      </c>
      <c r="T228" s="26" t="s">
        <v>234</v>
      </c>
      <c r="U228" s="26" t="s">
        <v>249</v>
      </c>
      <c r="V228" s="26" t="s">
        <v>250</v>
      </c>
      <c r="W228" s="26"/>
      <c r="X228" s="27" t="s">
        <v>294</v>
      </c>
      <c r="Y228" t="s">
        <v>290</v>
      </c>
      <c r="Z228" t="s">
        <v>307</v>
      </c>
      <c r="AA228" s="15">
        <f>-1*C228</f>
        <v>-0.5</v>
      </c>
      <c r="AB228" s="42"/>
      <c r="AC228">
        <f t="shared" si="18"/>
        <v>0.5</v>
      </c>
      <c r="AD228" t="str">
        <f t="shared" si="16"/>
        <v>Recheschnoi:2003-2010</v>
      </c>
      <c r="AE228" t="s">
        <v>202</v>
      </c>
      <c r="AF228" t="s">
        <v>222</v>
      </c>
    </row>
    <row r="229" spans="1:32" x14ac:dyDescent="0.2">
      <c r="A229">
        <v>252140</v>
      </c>
      <c r="B229" s="8" t="s">
        <v>107</v>
      </c>
      <c r="C229" s="15">
        <v>1</v>
      </c>
      <c r="D229" s="8" t="s">
        <v>134</v>
      </c>
      <c r="E229" s="8" t="s">
        <v>182</v>
      </c>
      <c r="F229" s="19">
        <v>7</v>
      </c>
      <c r="H229" s="35" t="s">
        <v>542</v>
      </c>
      <c r="I229">
        <v>7</v>
      </c>
      <c r="J229" s="10">
        <v>4</v>
      </c>
      <c r="K229" s="15">
        <v>22</v>
      </c>
      <c r="L229" s="32">
        <f>I229/J229</f>
        <v>1.75</v>
      </c>
      <c r="O229" s="42">
        <f t="shared" si="19"/>
        <v>7</v>
      </c>
      <c r="Q229" s="22">
        <v>1</v>
      </c>
      <c r="S229" s="16" t="s">
        <v>274</v>
      </c>
      <c r="T229" s="16" t="s">
        <v>234</v>
      </c>
      <c r="U229" s="16" t="s">
        <v>249</v>
      </c>
      <c r="V229" s="16" t="s">
        <v>250</v>
      </c>
      <c r="W229" s="26"/>
      <c r="X229" s="27" t="s">
        <v>293</v>
      </c>
      <c r="Y229" t="s">
        <v>293</v>
      </c>
      <c r="Z229" t="s">
        <v>304</v>
      </c>
      <c r="AA229" s="15">
        <v>1</v>
      </c>
      <c r="AB229" s="42"/>
      <c r="AC229">
        <f t="shared" si="18"/>
        <v>1</v>
      </c>
      <c r="AD229" t="str">
        <f t="shared" si="16"/>
        <v>Recheschnoi:2003-2010</v>
      </c>
      <c r="AE229" t="s">
        <v>202</v>
      </c>
      <c r="AF229" t="s">
        <v>222</v>
      </c>
    </row>
    <row r="230" spans="1:32" x14ac:dyDescent="0.2">
      <c r="A230">
        <v>311280</v>
      </c>
      <c r="B230" s="8" t="s">
        <v>107</v>
      </c>
      <c r="C230" s="15">
        <v>1</v>
      </c>
      <c r="D230" s="8" t="s">
        <v>134</v>
      </c>
      <c r="E230" s="8" t="s">
        <v>182</v>
      </c>
      <c r="F230" s="19">
        <v>7</v>
      </c>
      <c r="J230" s="10"/>
      <c r="K230" s="15">
        <v>7</v>
      </c>
      <c r="O230" s="45">
        <f t="shared" si="19"/>
        <v>7</v>
      </c>
      <c r="Q230" s="22">
        <v>1</v>
      </c>
      <c r="S230" s="16" t="s">
        <v>248</v>
      </c>
      <c r="T230" s="26" t="s">
        <v>234</v>
      </c>
      <c r="U230" s="26" t="s">
        <v>249</v>
      </c>
      <c r="V230" s="26" t="s">
        <v>250</v>
      </c>
      <c r="W230" s="26"/>
      <c r="X230" s="27" t="s">
        <v>294</v>
      </c>
      <c r="Y230" t="s">
        <v>290</v>
      </c>
      <c r="Z230" t="s">
        <v>307</v>
      </c>
      <c r="AA230" s="15">
        <f>-1*C230</f>
        <v>-1</v>
      </c>
      <c r="AB230" s="42"/>
      <c r="AC230">
        <f t="shared" si="18"/>
        <v>1</v>
      </c>
      <c r="AD230" t="str">
        <f t="shared" si="16"/>
        <v>Recheschnoi:2003-2010</v>
      </c>
      <c r="AE230" t="s">
        <v>202</v>
      </c>
      <c r="AF230" t="s">
        <v>222</v>
      </c>
    </row>
    <row r="231" spans="1:32" x14ac:dyDescent="0.2">
      <c r="A231">
        <v>313030</v>
      </c>
      <c r="B231" s="31" t="s">
        <v>63</v>
      </c>
      <c r="C231" s="15">
        <v>20</v>
      </c>
      <c r="D231" s="8" t="s">
        <v>155</v>
      </c>
      <c r="E231" s="8" t="s">
        <v>193</v>
      </c>
      <c r="F231" s="19">
        <v>1.1698630136986301</v>
      </c>
      <c r="J231" s="10"/>
      <c r="O231" s="45">
        <f t="shared" si="19"/>
        <v>23.397260273972602</v>
      </c>
      <c r="Q231" s="22">
        <v>2</v>
      </c>
      <c r="S231" s="16" t="s">
        <v>248</v>
      </c>
      <c r="T231" s="26" t="s">
        <v>234</v>
      </c>
      <c r="U231" s="26" t="s">
        <v>252</v>
      </c>
      <c r="V231" s="26" t="s">
        <v>250</v>
      </c>
      <c r="W231" s="26"/>
      <c r="X231" s="27" t="s">
        <v>294</v>
      </c>
      <c r="Y231" t="s">
        <v>290</v>
      </c>
      <c r="Z231" t="s">
        <v>308</v>
      </c>
      <c r="AA231" s="15">
        <f>-1*C231</f>
        <v>-20</v>
      </c>
      <c r="AB231" s="42"/>
      <c r="AC231">
        <f t="shared" si="18"/>
        <v>20</v>
      </c>
      <c r="AD231" t="str">
        <f t="shared" si="16"/>
        <v>Redoubt:July 2009-Sept 2010</v>
      </c>
      <c r="AE231" t="s">
        <v>202</v>
      </c>
      <c r="AF231" t="s">
        <v>222</v>
      </c>
    </row>
    <row r="232" spans="1:32" x14ac:dyDescent="0.2">
      <c r="A232">
        <v>352010</v>
      </c>
      <c r="B232" s="31" t="s">
        <v>64</v>
      </c>
      <c r="C232" s="15">
        <v>6</v>
      </c>
      <c r="D232" s="8" t="s">
        <v>148</v>
      </c>
      <c r="E232" s="8" t="s">
        <v>179</v>
      </c>
      <c r="F232" s="19">
        <v>2</v>
      </c>
      <c r="J232" s="10"/>
      <c r="O232" s="45">
        <f t="shared" si="19"/>
        <v>12</v>
      </c>
      <c r="Q232" s="22">
        <v>2</v>
      </c>
      <c r="S232" s="16" t="s">
        <v>279</v>
      </c>
      <c r="T232" s="26" t="s">
        <v>234</v>
      </c>
      <c r="U232" s="26" t="s">
        <v>252</v>
      </c>
      <c r="V232" s="26" t="s">
        <v>250</v>
      </c>
      <c r="W232" s="26"/>
      <c r="X232" s="26"/>
      <c r="Z232" t="s">
        <v>308</v>
      </c>
      <c r="AA232" s="15">
        <v>6</v>
      </c>
      <c r="AB232" s="45"/>
      <c r="AC232">
        <f t="shared" si="18"/>
        <v>6</v>
      </c>
      <c r="AD232" t="str">
        <f t="shared" si="16"/>
        <v>Reventador:2007-2009</v>
      </c>
      <c r="AE232" t="s">
        <v>202</v>
      </c>
      <c r="AF232" t="s">
        <v>222</v>
      </c>
    </row>
    <row r="233" spans="1:32" x14ac:dyDescent="0.2">
      <c r="A233">
        <v>355210</v>
      </c>
      <c r="B233" s="8" t="s">
        <v>108</v>
      </c>
      <c r="C233" s="15">
        <v>1</v>
      </c>
      <c r="D233" s="8" t="s">
        <v>136</v>
      </c>
      <c r="E233" s="8" t="s">
        <v>163</v>
      </c>
      <c r="F233" s="19">
        <v>19</v>
      </c>
      <c r="H233">
        <v>8</v>
      </c>
      <c r="I233">
        <v>20</v>
      </c>
      <c r="J233" s="10"/>
      <c r="K233" s="15">
        <v>314</v>
      </c>
      <c r="L233" s="32">
        <v>1</v>
      </c>
      <c r="M233">
        <v>4.5</v>
      </c>
      <c r="N233">
        <v>6</v>
      </c>
      <c r="O233" s="42">
        <f t="shared" si="19"/>
        <v>19</v>
      </c>
      <c r="Q233" s="22">
        <v>1</v>
      </c>
      <c r="S233" s="16" t="s">
        <v>279</v>
      </c>
      <c r="T233" s="26" t="s">
        <v>233</v>
      </c>
      <c r="U233" s="26" t="s">
        <v>252</v>
      </c>
      <c r="V233" s="26" t="s">
        <v>256</v>
      </c>
      <c r="W233" s="26"/>
      <c r="X233" s="27" t="s">
        <v>294</v>
      </c>
      <c r="Y233" t="s">
        <v>290</v>
      </c>
      <c r="Z233" t="s">
        <v>304</v>
      </c>
      <c r="AA233" s="15">
        <f>-1*C233</f>
        <v>-1</v>
      </c>
      <c r="AB233" s="42"/>
      <c r="AC233">
        <f t="shared" si="18"/>
        <v>1</v>
      </c>
      <c r="AD233" t="str">
        <f t="shared" si="16"/>
        <v>Robledo (Cerro Blanco):1992-2011</v>
      </c>
      <c r="AE233" t="s">
        <v>202</v>
      </c>
      <c r="AF233" t="s">
        <v>222</v>
      </c>
    </row>
    <row r="234" spans="1:32" x14ac:dyDescent="0.2">
      <c r="A234">
        <v>354006</v>
      </c>
      <c r="B234" t="s">
        <v>109</v>
      </c>
      <c r="C234" s="32"/>
      <c r="D234" s="8" t="s">
        <v>529</v>
      </c>
      <c r="E234" s="8" t="s">
        <v>530</v>
      </c>
      <c r="F234">
        <v>1.3260273972602741</v>
      </c>
      <c r="L234" s="32"/>
      <c r="O234">
        <v>6</v>
      </c>
      <c r="Q234" s="34">
        <v>1</v>
      </c>
      <c r="T234" s="16" t="s">
        <v>236</v>
      </c>
      <c r="U234" s="16" t="s">
        <v>252</v>
      </c>
      <c r="V234" s="16" t="s">
        <v>250</v>
      </c>
      <c r="W234" s="27" t="s">
        <v>554</v>
      </c>
      <c r="X234" s="27" t="s">
        <v>294</v>
      </c>
      <c r="Y234" t="s">
        <v>290</v>
      </c>
      <c r="Z234" t="s">
        <v>316</v>
      </c>
      <c r="AA234" s="15">
        <f>-1*C234</f>
        <v>0</v>
      </c>
      <c r="AB234" s="42"/>
      <c r="AC234">
        <f t="shared" si="18"/>
        <v>0</v>
      </c>
      <c r="AD234" t="str">
        <f t="shared" si="16"/>
        <v>Sabancaya:14 Jan 2012-12 May 2013</v>
      </c>
      <c r="AE234" t="s">
        <v>202</v>
      </c>
      <c r="AF234" t="s">
        <v>222</v>
      </c>
    </row>
    <row r="235" spans="1:32" x14ac:dyDescent="0.2">
      <c r="A235">
        <v>354006</v>
      </c>
      <c r="B235" t="s">
        <v>109</v>
      </c>
      <c r="C235" s="32"/>
      <c r="D235" s="8" t="s">
        <v>527</v>
      </c>
      <c r="E235" s="8" t="s">
        <v>528</v>
      </c>
      <c r="F235">
        <v>0.76712328767123283</v>
      </c>
      <c r="L235" s="32"/>
      <c r="O235">
        <v>5</v>
      </c>
      <c r="Q235" s="34">
        <v>1</v>
      </c>
      <c r="T235" s="16" t="s">
        <v>236</v>
      </c>
      <c r="U235" s="16" t="s">
        <v>252</v>
      </c>
      <c r="V235" s="16" t="s">
        <v>250</v>
      </c>
      <c r="W235" s="27" t="s">
        <v>554</v>
      </c>
      <c r="X235" s="27" t="s">
        <v>294</v>
      </c>
      <c r="Y235" t="s">
        <v>290</v>
      </c>
      <c r="Z235" t="s">
        <v>316</v>
      </c>
      <c r="AA235" s="15">
        <f>-1*C235</f>
        <v>0</v>
      </c>
      <c r="AB235" s="42"/>
      <c r="AC235">
        <f t="shared" si="18"/>
        <v>0</v>
      </c>
      <c r="AD235" t="str">
        <f t="shared" si="16"/>
        <v>Sabancaya:6 Dec 2002-12 Sep 2003</v>
      </c>
      <c r="AE235" t="s">
        <v>202</v>
      </c>
      <c r="AF235" t="s">
        <v>222</v>
      </c>
    </row>
    <row r="236" spans="1:32" x14ac:dyDescent="0.2">
      <c r="A236">
        <v>354006</v>
      </c>
      <c r="B236" t="s">
        <v>109</v>
      </c>
      <c r="C236" s="32"/>
      <c r="D236" s="8" t="s">
        <v>530</v>
      </c>
      <c r="E236" s="8" t="s">
        <v>531</v>
      </c>
      <c r="F236">
        <v>0.18082191780821918</v>
      </c>
      <c r="L236" s="32"/>
      <c r="O236">
        <v>16</v>
      </c>
      <c r="Q236" s="34">
        <v>1</v>
      </c>
      <c r="T236" s="16" t="s">
        <v>236</v>
      </c>
      <c r="U236" s="16" t="s">
        <v>252</v>
      </c>
      <c r="V236" s="16" t="s">
        <v>250</v>
      </c>
      <c r="W236" s="27" t="s">
        <v>554</v>
      </c>
      <c r="X236" s="27" t="s">
        <v>561</v>
      </c>
      <c r="Y236" t="s">
        <v>292</v>
      </c>
      <c r="Z236" t="s">
        <v>316</v>
      </c>
      <c r="AA236" s="32"/>
      <c r="AB236">
        <v>16</v>
      </c>
      <c r="AC236">
        <f t="shared" si="18"/>
        <v>0</v>
      </c>
      <c r="AD236" t="str">
        <f t="shared" si="16"/>
        <v>Sabancaya:12 May 2013-17 Jul 2013</v>
      </c>
      <c r="AE236" t="s">
        <v>202</v>
      </c>
      <c r="AF236" t="s">
        <v>222</v>
      </c>
    </row>
    <row r="237" spans="1:32" x14ac:dyDescent="0.2">
      <c r="A237">
        <v>354006</v>
      </c>
      <c r="B237" s="8" t="s">
        <v>545</v>
      </c>
      <c r="C237" s="15">
        <v>2</v>
      </c>
      <c r="D237" s="8" t="s">
        <v>136</v>
      </c>
      <c r="E237" s="8" t="s">
        <v>131</v>
      </c>
      <c r="F237" s="19">
        <v>5</v>
      </c>
      <c r="H237">
        <v>7</v>
      </c>
      <c r="I237">
        <v>50</v>
      </c>
      <c r="J237" s="10"/>
      <c r="K237" s="15">
        <v>1963</v>
      </c>
      <c r="L237" s="32">
        <v>1</v>
      </c>
      <c r="M237">
        <v>11</v>
      </c>
      <c r="N237">
        <v>13</v>
      </c>
      <c r="O237" s="45">
        <f>C237*F237</f>
        <v>10</v>
      </c>
      <c r="Q237" s="22">
        <v>1</v>
      </c>
      <c r="S237" s="16" t="s">
        <v>279</v>
      </c>
      <c r="T237" s="26" t="s">
        <v>236</v>
      </c>
      <c r="U237" s="26" t="s">
        <v>252</v>
      </c>
      <c r="V237" s="26" t="s">
        <v>250</v>
      </c>
      <c r="W237" s="26"/>
      <c r="X237" s="27" t="s">
        <v>293</v>
      </c>
      <c r="Y237" t="s">
        <v>293</v>
      </c>
      <c r="Z237" t="s">
        <v>299</v>
      </c>
      <c r="AA237" s="15">
        <v>2</v>
      </c>
      <c r="AB237" s="45"/>
      <c r="AC237">
        <f t="shared" si="18"/>
        <v>2</v>
      </c>
      <c r="AD237" t="str">
        <f t="shared" si="16"/>
        <v>Sabancaya (Hualca Hualca):1992-1997</v>
      </c>
      <c r="AE237" t="s">
        <v>202</v>
      </c>
      <c r="AF237" t="s">
        <v>222</v>
      </c>
    </row>
    <row r="238" spans="1:32" x14ac:dyDescent="0.2">
      <c r="A238">
        <v>342030</v>
      </c>
      <c r="B238" s="8" t="s">
        <v>65</v>
      </c>
      <c r="C238" s="15">
        <v>6</v>
      </c>
      <c r="D238" s="8" t="s">
        <v>156</v>
      </c>
      <c r="E238" s="8" t="s">
        <v>179</v>
      </c>
      <c r="F238" s="19">
        <v>9</v>
      </c>
      <c r="J238" s="10"/>
      <c r="O238" s="45">
        <f>C238*F238</f>
        <v>54</v>
      </c>
      <c r="Q238" s="22">
        <v>2</v>
      </c>
      <c r="S238" s="16" t="s">
        <v>278</v>
      </c>
      <c r="T238" s="27" t="s">
        <v>234</v>
      </c>
      <c r="U238" s="27" t="s">
        <v>252</v>
      </c>
      <c r="V238" s="27" t="s">
        <v>253</v>
      </c>
      <c r="W238" s="27"/>
      <c r="X238" s="27" t="s">
        <v>294</v>
      </c>
      <c r="Y238" t="s">
        <v>290</v>
      </c>
      <c r="Z238" t="s">
        <v>308</v>
      </c>
      <c r="AA238" s="15">
        <f>-1*C238</f>
        <v>-6</v>
      </c>
      <c r="AB238" s="42"/>
      <c r="AC238">
        <f t="shared" si="18"/>
        <v>6</v>
      </c>
      <c r="AD238" t="str">
        <f t="shared" si="16"/>
        <v>Santa María:2000-2009</v>
      </c>
      <c r="AE238" t="s">
        <v>202</v>
      </c>
      <c r="AF238" t="s">
        <v>222</v>
      </c>
    </row>
    <row r="239" spans="1:32" x14ac:dyDescent="0.2">
      <c r="A239">
        <v>212040</v>
      </c>
      <c r="B239" s="8" t="s">
        <v>110</v>
      </c>
      <c r="C239" s="15">
        <v>0.6</v>
      </c>
      <c r="D239" s="8" t="s">
        <v>136</v>
      </c>
      <c r="E239" s="8" t="s">
        <v>165</v>
      </c>
      <c r="F239" s="19">
        <v>18</v>
      </c>
      <c r="J239" s="10"/>
      <c r="O239" s="45">
        <f>C239*F239</f>
        <v>10.799999999999999</v>
      </c>
      <c r="Q239" s="22">
        <v>1</v>
      </c>
      <c r="S239" s="16" t="s">
        <v>270</v>
      </c>
      <c r="T239" s="26" t="s">
        <v>237</v>
      </c>
      <c r="U239" s="26" t="s">
        <v>252</v>
      </c>
      <c r="V239" s="26" t="s">
        <v>253</v>
      </c>
      <c r="W239" s="26"/>
      <c r="X239" s="27" t="s">
        <v>294</v>
      </c>
      <c r="Y239" t="s">
        <v>287</v>
      </c>
      <c r="Z239" t="s">
        <v>296</v>
      </c>
      <c r="AA239" s="15">
        <f>-1*C239</f>
        <v>-0.6</v>
      </c>
      <c r="AB239" s="42"/>
      <c r="AC239">
        <f t="shared" si="18"/>
        <v>0.6</v>
      </c>
      <c r="AD239" t="str">
        <f t="shared" si="16"/>
        <v>Santorini:1992-2010</v>
      </c>
      <c r="AE239" t="s">
        <v>202</v>
      </c>
      <c r="AF239" t="s">
        <v>222</v>
      </c>
    </row>
    <row r="240" spans="1:32" x14ac:dyDescent="0.2">
      <c r="A240">
        <v>212040</v>
      </c>
      <c r="B240" t="s">
        <v>110</v>
      </c>
      <c r="C240" s="32"/>
      <c r="D240" s="8" t="s">
        <v>532</v>
      </c>
      <c r="E240" s="8" t="s">
        <v>533</v>
      </c>
      <c r="F240">
        <v>0.24383561643835616</v>
      </c>
      <c r="I240">
        <v>11</v>
      </c>
      <c r="K240">
        <v>95</v>
      </c>
      <c r="L240" s="32">
        <v>1</v>
      </c>
      <c r="M240">
        <v>3.5</v>
      </c>
      <c r="N240">
        <v>6</v>
      </c>
      <c r="O240">
        <v>3</v>
      </c>
      <c r="Q240" s="34">
        <v>1</v>
      </c>
      <c r="T240" s="26" t="s">
        <v>237</v>
      </c>
      <c r="U240" s="26" t="s">
        <v>252</v>
      </c>
      <c r="V240" s="26" t="s">
        <v>253</v>
      </c>
      <c r="W240" s="27" t="s">
        <v>554</v>
      </c>
      <c r="X240" s="27" t="s">
        <v>294</v>
      </c>
      <c r="Y240" t="s">
        <v>287</v>
      </c>
      <c r="AA240" s="15">
        <f>-1*C240</f>
        <v>0</v>
      </c>
      <c r="AB240" s="42"/>
      <c r="AC240">
        <f t="shared" si="18"/>
        <v>0</v>
      </c>
      <c r="AD240" t="str">
        <f t="shared" si="16"/>
        <v>Santorini:Feb 2010-May 2010</v>
      </c>
      <c r="AE240" t="s">
        <v>202</v>
      </c>
      <c r="AF240" t="s">
        <v>222</v>
      </c>
    </row>
    <row r="241" spans="1:42" x14ac:dyDescent="0.2">
      <c r="A241">
        <v>212040</v>
      </c>
      <c r="B241" t="s">
        <v>110</v>
      </c>
      <c r="C241" s="32"/>
      <c r="D241" s="8" t="s">
        <v>534</v>
      </c>
      <c r="E241" s="8" t="s">
        <v>535</v>
      </c>
      <c r="F241">
        <v>1</v>
      </c>
      <c r="I241">
        <v>11</v>
      </c>
      <c r="K241">
        <v>95</v>
      </c>
      <c r="L241" s="32">
        <v>1</v>
      </c>
      <c r="M241">
        <v>3.5</v>
      </c>
      <c r="N241">
        <v>6</v>
      </c>
      <c r="O241">
        <v>14</v>
      </c>
      <c r="Q241" s="34">
        <v>1</v>
      </c>
      <c r="T241" s="26" t="s">
        <v>237</v>
      </c>
      <c r="U241" s="26" t="s">
        <v>252</v>
      </c>
      <c r="V241" s="26" t="s">
        <v>253</v>
      </c>
      <c r="W241" s="27" t="s">
        <v>554</v>
      </c>
      <c r="X241" s="27" t="s">
        <v>293</v>
      </c>
      <c r="Y241" t="s">
        <v>286</v>
      </c>
      <c r="Z241" t="s">
        <v>299</v>
      </c>
      <c r="AA241" s="32"/>
      <c r="AB241">
        <v>14</v>
      </c>
      <c r="AC241">
        <f t="shared" si="18"/>
        <v>0</v>
      </c>
      <c r="AD241" t="str">
        <f t="shared" si="16"/>
        <v>Santorini:2011-2012</v>
      </c>
      <c r="AE241" t="s">
        <v>202</v>
      </c>
      <c r="AF241" t="s">
        <v>222</v>
      </c>
    </row>
    <row r="242" spans="1:42" x14ac:dyDescent="0.2">
      <c r="A242">
        <v>311180</v>
      </c>
      <c r="B242" s="8" t="s">
        <v>66</v>
      </c>
      <c r="C242" s="15">
        <v>0.8</v>
      </c>
      <c r="D242" s="8" t="s">
        <v>176</v>
      </c>
      <c r="E242" s="8" t="s">
        <v>201</v>
      </c>
      <c r="F242" s="19">
        <v>2</v>
      </c>
      <c r="H242">
        <v>8</v>
      </c>
      <c r="I242">
        <v>10</v>
      </c>
      <c r="J242" s="10"/>
      <c r="K242" s="15">
        <v>79</v>
      </c>
      <c r="L242" s="32">
        <v>1</v>
      </c>
      <c r="M242">
        <v>5.5</v>
      </c>
      <c r="N242">
        <v>5.5</v>
      </c>
      <c r="O242" s="42">
        <f t="shared" ref="O242:O247" si="20">C242*F242</f>
        <v>1.6</v>
      </c>
      <c r="Q242" s="22">
        <v>1</v>
      </c>
      <c r="S242" s="16" t="s">
        <v>248</v>
      </c>
      <c r="T242" s="26" t="s">
        <v>236</v>
      </c>
      <c r="U242" s="26" t="s">
        <v>249</v>
      </c>
      <c r="V242" s="26" t="s">
        <v>250</v>
      </c>
      <c r="W242" s="26"/>
      <c r="X242" s="27" t="s">
        <v>293</v>
      </c>
      <c r="Y242" t="s">
        <v>293</v>
      </c>
      <c r="Z242" t="s">
        <v>299</v>
      </c>
      <c r="AA242" s="15">
        <v>0.8</v>
      </c>
      <c r="AB242" s="42"/>
      <c r="AC242">
        <f t="shared" si="18"/>
        <v>0.8</v>
      </c>
      <c r="AD242" t="str">
        <f t="shared" si="16"/>
        <v>Seguam:Jul 2005-Jul 2007</v>
      </c>
      <c r="AE242" t="s">
        <v>202</v>
      </c>
      <c r="AF242" t="s">
        <v>222</v>
      </c>
    </row>
    <row r="243" spans="1:42" x14ac:dyDescent="0.2">
      <c r="A243">
        <v>311180</v>
      </c>
      <c r="B243" s="8" t="s">
        <v>66</v>
      </c>
      <c r="C243" s="15">
        <v>1.6</v>
      </c>
      <c r="D243" s="8" t="s">
        <v>136</v>
      </c>
      <c r="E243" s="8" t="s">
        <v>151</v>
      </c>
      <c r="F243" s="19">
        <v>16</v>
      </c>
      <c r="H243">
        <v>8</v>
      </c>
      <c r="I243" s="11">
        <v>9.6</v>
      </c>
      <c r="J243" s="10"/>
      <c r="K243" s="21">
        <v>83</v>
      </c>
      <c r="L243" s="32">
        <v>1</v>
      </c>
      <c r="O243" s="45">
        <f t="shared" si="20"/>
        <v>25.6</v>
      </c>
      <c r="Q243" s="22">
        <v>2</v>
      </c>
      <c r="S243" s="16" t="s">
        <v>248</v>
      </c>
      <c r="T243" s="26" t="s">
        <v>236</v>
      </c>
      <c r="U243" s="26" t="s">
        <v>249</v>
      </c>
      <c r="V243" s="26" t="s">
        <v>250</v>
      </c>
      <c r="W243" s="26"/>
      <c r="X243" s="27" t="s">
        <v>294</v>
      </c>
      <c r="Y243" t="s">
        <v>290</v>
      </c>
      <c r="Z243" t="s">
        <v>300</v>
      </c>
      <c r="AA243" s="15">
        <f>-1*C243</f>
        <v>-1.6</v>
      </c>
      <c r="AB243" s="42"/>
      <c r="AC243">
        <f t="shared" si="18"/>
        <v>1.6</v>
      </c>
      <c r="AD243" t="str">
        <f t="shared" si="16"/>
        <v>Seguam:1992-2008</v>
      </c>
      <c r="AE243" t="s">
        <v>202</v>
      </c>
      <c r="AF243" t="s">
        <v>222</v>
      </c>
    </row>
    <row r="244" spans="1:42" x14ac:dyDescent="0.2">
      <c r="A244">
        <v>311180</v>
      </c>
      <c r="B244" s="8" t="s">
        <v>66</v>
      </c>
      <c r="C244" s="15">
        <v>1.6</v>
      </c>
      <c r="D244" s="8" t="s">
        <v>175</v>
      </c>
      <c r="E244" s="8" t="s">
        <v>176</v>
      </c>
      <c r="F244" s="19">
        <v>4.8328767123287673</v>
      </c>
      <c r="H244">
        <v>8</v>
      </c>
      <c r="I244">
        <v>6</v>
      </c>
      <c r="J244" s="10"/>
      <c r="K244" s="15">
        <v>28</v>
      </c>
      <c r="L244" s="32">
        <v>1</v>
      </c>
      <c r="M244">
        <v>2</v>
      </c>
      <c r="N244">
        <v>2</v>
      </c>
      <c r="O244" s="42">
        <f t="shared" si="20"/>
        <v>7.732602739726028</v>
      </c>
      <c r="Q244" s="22">
        <v>1</v>
      </c>
      <c r="S244" s="16" t="s">
        <v>248</v>
      </c>
      <c r="T244" s="26" t="s">
        <v>236</v>
      </c>
      <c r="U244" s="26" t="s">
        <v>249</v>
      </c>
      <c r="V244" s="26" t="s">
        <v>250</v>
      </c>
      <c r="W244" s="26"/>
      <c r="X244" s="27" t="s">
        <v>294</v>
      </c>
      <c r="Y244" t="s">
        <v>290</v>
      </c>
      <c r="Z244" t="s">
        <v>299</v>
      </c>
      <c r="AA244" s="15">
        <f>-1*C244</f>
        <v>-1.6</v>
      </c>
      <c r="AB244" s="42"/>
      <c r="AC244">
        <f t="shared" si="18"/>
        <v>1.6</v>
      </c>
      <c r="AD244" t="str">
        <f t="shared" si="16"/>
        <v>Seguam:Sep 2000-Jul 2005</v>
      </c>
      <c r="AE244" t="s">
        <v>202</v>
      </c>
      <c r="AF244" t="s">
        <v>222</v>
      </c>
    </row>
    <row r="245" spans="1:42" x14ac:dyDescent="0.2">
      <c r="A245">
        <v>311180</v>
      </c>
      <c r="B245" s="8" t="s">
        <v>66</v>
      </c>
      <c r="C245" s="15">
        <v>1.6</v>
      </c>
      <c r="D245" s="8" t="s">
        <v>173</v>
      </c>
      <c r="E245" s="8" t="s">
        <v>174</v>
      </c>
      <c r="F245" s="19">
        <v>5.087671232876712</v>
      </c>
      <c r="H245">
        <v>8</v>
      </c>
      <c r="I245">
        <v>5</v>
      </c>
      <c r="J245" s="10"/>
      <c r="K245" s="15">
        <v>20</v>
      </c>
      <c r="L245" s="32">
        <v>1</v>
      </c>
      <c r="M245">
        <v>2</v>
      </c>
      <c r="N245">
        <v>2</v>
      </c>
      <c r="O245" s="42">
        <f t="shared" si="20"/>
        <v>8.1402739726027402</v>
      </c>
      <c r="Q245" s="22">
        <v>1</v>
      </c>
      <c r="S245" s="16" t="s">
        <v>248</v>
      </c>
      <c r="T245" s="26" t="s">
        <v>236</v>
      </c>
      <c r="U245" s="26" t="s">
        <v>249</v>
      </c>
      <c r="V245" s="26" t="s">
        <v>250</v>
      </c>
      <c r="W245" s="26"/>
      <c r="X245" s="27" t="s">
        <v>294</v>
      </c>
      <c r="Y245" t="s">
        <v>290</v>
      </c>
      <c r="Z245" t="s">
        <v>299</v>
      </c>
      <c r="AA245" s="15">
        <f>-1*C245</f>
        <v>-1.6</v>
      </c>
      <c r="AB245" s="42"/>
      <c r="AC245">
        <f t="shared" si="18"/>
        <v>1.6</v>
      </c>
      <c r="AD245" t="str">
        <f t="shared" si="16"/>
        <v>Seguam:Oct 1993-Nov 1998</v>
      </c>
      <c r="AE245" t="s">
        <v>202</v>
      </c>
      <c r="AF245" t="s">
        <v>222</v>
      </c>
    </row>
    <row r="246" spans="1:42" s="43" customFormat="1" x14ac:dyDescent="0.2">
      <c r="A246">
        <v>311180</v>
      </c>
      <c r="B246" s="8" t="s">
        <v>66</v>
      </c>
      <c r="C246" s="15">
        <v>2</v>
      </c>
      <c r="D246" s="8" t="s">
        <v>174</v>
      </c>
      <c r="E246" s="8" t="s">
        <v>175</v>
      </c>
      <c r="F246" s="19">
        <v>1.8356164383561644</v>
      </c>
      <c r="G246"/>
      <c r="H246">
        <v>8</v>
      </c>
      <c r="I246">
        <v>12</v>
      </c>
      <c r="J246" s="10"/>
      <c r="K246" s="15">
        <v>113</v>
      </c>
      <c r="L246" s="32">
        <v>1</v>
      </c>
      <c r="M246">
        <v>5.5</v>
      </c>
      <c r="N246">
        <v>5.5</v>
      </c>
      <c r="O246" s="42">
        <f t="shared" si="20"/>
        <v>3.6712328767123288</v>
      </c>
      <c r="P246"/>
      <c r="Q246" s="22">
        <v>1</v>
      </c>
      <c r="R246"/>
      <c r="S246" s="16" t="s">
        <v>248</v>
      </c>
      <c r="T246" s="26" t="s">
        <v>236</v>
      </c>
      <c r="U246" s="26" t="s">
        <v>249</v>
      </c>
      <c r="V246" s="26" t="s">
        <v>250</v>
      </c>
      <c r="W246" s="26"/>
      <c r="X246" s="27" t="s">
        <v>293</v>
      </c>
      <c r="Y246" t="s">
        <v>293</v>
      </c>
      <c r="Z246" t="s">
        <v>299</v>
      </c>
      <c r="AA246" s="15">
        <v>2</v>
      </c>
      <c r="AB246" s="42"/>
      <c r="AC246">
        <f t="shared" si="18"/>
        <v>2</v>
      </c>
      <c r="AD246" t="str">
        <f t="shared" si="16"/>
        <v>Seguam:Nov 1998-Sep 2000</v>
      </c>
      <c r="AE246" t="s">
        <v>202</v>
      </c>
      <c r="AF246" t="s">
        <v>222</v>
      </c>
      <c r="AG246"/>
      <c r="AH246"/>
      <c r="AI246"/>
      <c r="AJ246"/>
      <c r="AK246"/>
      <c r="AL246"/>
      <c r="AM246"/>
      <c r="AN246"/>
      <c r="AO246"/>
      <c r="AP246"/>
    </row>
    <row r="247" spans="1:42" x14ac:dyDescent="0.2">
      <c r="A247">
        <v>311180</v>
      </c>
      <c r="B247" s="8" t="s">
        <v>66</v>
      </c>
      <c r="C247" s="15">
        <v>5</v>
      </c>
      <c r="D247" s="8" t="s">
        <v>172</v>
      </c>
      <c r="E247" s="8" t="s">
        <v>173</v>
      </c>
      <c r="F247" s="19">
        <v>0.74794520547945209</v>
      </c>
      <c r="H247">
        <v>8</v>
      </c>
      <c r="I247">
        <v>15</v>
      </c>
      <c r="J247" s="10"/>
      <c r="K247" s="15">
        <v>177</v>
      </c>
      <c r="L247" s="32">
        <v>1</v>
      </c>
      <c r="M247">
        <v>5.5</v>
      </c>
      <c r="N247">
        <v>5.5</v>
      </c>
      <c r="O247" s="42">
        <f t="shared" si="20"/>
        <v>3.7397260273972606</v>
      </c>
      <c r="Q247" s="22">
        <v>1</v>
      </c>
      <c r="S247" s="16" t="s">
        <v>248</v>
      </c>
      <c r="T247" s="26" t="s">
        <v>236</v>
      </c>
      <c r="U247" s="26" t="s">
        <v>249</v>
      </c>
      <c r="V247" s="26" t="s">
        <v>250</v>
      </c>
      <c r="W247" s="26"/>
      <c r="X247" s="27" t="s">
        <v>293</v>
      </c>
      <c r="Y247" t="s">
        <v>293</v>
      </c>
      <c r="Z247" t="s">
        <v>299</v>
      </c>
      <c r="AA247" s="15">
        <v>5</v>
      </c>
      <c r="AB247" s="42"/>
      <c r="AC247">
        <f t="shared" si="18"/>
        <v>5</v>
      </c>
      <c r="AD247" t="str">
        <f t="shared" si="16"/>
        <v>Seguam:Jan 1993-Oct 1993</v>
      </c>
      <c r="AE247" t="s">
        <v>202</v>
      </c>
      <c r="AF247" t="s">
        <v>222</v>
      </c>
    </row>
    <row r="248" spans="1:42" x14ac:dyDescent="0.2">
      <c r="A248">
        <v>311060</v>
      </c>
      <c r="B248" t="s">
        <v>336</v>
      </c>
      <c r="C248" s="32"/>
      <c r="D248" s="8" t="s">
        <v>135</v>
      </c>
      <c r="E248" s="8" t="s">
        <v>182</v>
      </c>
      <c r="F248">
        <v>6</v>
      </c>
      <c r="O248">
        <v>6</v>
      </c>
      <c r="Q248" s="34">
        <v>2</v>
      </c>
      <c r="T248" s="26" t="s">
        <v>234</v>
      </c>
      <c r="U248" s="26" t="s">
        <v>249</v>
      </c>
      <c r="V248" s="26" t="s">
        <v>251</v>
      </c>
      <c r="W248" s="27" t="s">
        <v>554</v>
      </c>
      <c r="X248" s="27" t="s">
        <v>294</v>
      </c>
      <c r="Y248" t="s">
        <v>290</v>
      </c>
      <c r="Z248" t="s">
        <v>308</v>
      </c>
      <c r="AA248" s="15">
        <f>-1*C248</f>
        <v>0</v>
      </c>
      <c r="AB248" s="42"/>
      <c r="AC248">
        <f t="shared" si="18"/>
        <v>0</v>
      </c>
      <c r="AD248" t="str">
        <f t="shared" si="16"/>
        <v>Semisopochnoi:2004-2010</v>
      </c>
      <c r="AE248" t="s">
        <v>202</v>
      </c>
      <c r="AF248" t="s">
        <v>222</v>
      </c>
    </row>
    <row r="249" spans="1:42" x14ac:dyDescent="0.2">
      <c r="A249">
        <v>222052</v>
      </c>
      <c r="B249" s="31" t="s">
        <v>111</v>
      </c>
      <c r="C249" s="15">
        <v>0.9</v>
      </c>
      <c r="D249" s="8" t="s">
        <v>148</v>
      </c>
      <c r="E249" s="8" t="s">
        <v>182</v>
      </c>
      <c r="F249" s="19">
        <v>3</v>
      </c>
      <c r="I249">
        <v>22</v>
      </c>
      <c r="J249" s="10"/>
      <c r="K249" s="15">
        <v>380</v>
      </c>
      <c r="L249" s="32">
        <v>1</v>
      </c>
      <c r="M249">
        <v>4.4000000000000004</v>
      </c>
      <c r="N249">
        <v>4.4000000000000004</v>
      </c>
      <c r="O249" s="42">
        <f>C249*F249</f>
        <v>2.7</v>
      </c>
      <c r="Q249" s="22">
        <v>1</v>
      </c>
      <c r="S249" s="16" t="s">
        <v>271</v>
      </c>
      <c r="T249" s="26" t="s">
        <v>238</v>
      </c>
      <c r="U249" s="26" t="s">
        <v>254</v>
      </c>
      <c r="V249" s="26" t="s">
        <v>255</v>
      </c>
      <c r="W249" s="26"/>
      <c r="X249" s="27" t="s">
        <v>294</v>
      </c>
      <c r="Y249" t="s">
        <v>290</v>
      </c>
      <c r="Z249" s="27" t="s">
        <v>563</v>
      </c>
      <c r="AA249" s="15">
        <f>-1*C249</f>
        <v>-0.9</v>
      </c>
      <c r="AB249" s="42"/>
      <c r="AC249">
        <f t="shared" si="18"/>
        <v>0.9</v>
      </c>
      <c r="AD249" t="str">
        <f t="shared" si="16"/>
        <v>Silali:2007-2010</v>
      </c>
      <c r="AE249" t="s">
        <v>202</v>
      </c>
      <c r="AF249" t="s">
        <v>222</v>
      </c>
    </row>
    <row r="250" spans="1:42" x14ac:dyDescent="0.2">
      <c r="A250" s="13">
        <v>999999</v>
      </c>
      <c r="B250" s="6" t="s">
        <v>349</v>
      </c>
      <c r="C250" s="32"/>
      <c r="D250" s="8" t="s">
        <v>148</v>
      </c>
      <c r="E250" s="8" t="s">
        <v>179</v>
      </c>
      <c r="F250">
        <v>2</v>
      </c>
      <c r="I250">
        <v>30</v>
      </c>
      <c r="K250">
        <v>707</v>
      </c>
      <c r="L250" s="32">
        <v>1</v>
      </c>
      <c r="M250">
        <v>16</v>
      </c>
      <c r="N250">
        <v>16</v>
      </c>
      <c r="O250">
        <v>6</v>
      </c>
      <c r="Q250" s="34">
        <v>1</v>
      </c>
      <c r="T250" s="26" t="s">
        <v>269</v>
      </c>
      <c r="U250" s="26" t="s">
        <v>269</v>
      </c>
      <c r="V250" s="26" t="s">
        <v>269</v>
      </c>
      <c r="W250" s="27" t="s">
        <v>554</v>
      </c>
      <c r="X250" s="27" t="s">
        <v>293</v>
      </c>
      <c r="Y250" t="s">
        <v>293</v>
      </c>
      <c r="AA250" s="32"/>
      <c r="AB250">
        <v>6</v>
      </c>
      <c r="AC250">
        <f t="shared" si="18"/>
        <v>0</v>
      </c>
      <c r="AD250" t="str">
        <f t="shared" si="16"/>
        <v>Sillajhuay:2007-2009</v>
      </c>
      <c r="AE250" t="s">
        <v>202</v>
      </c>
      <c r="AF250" t="s">
        <v>222</v>
      </c>
    </row>
    <row r="251" spans="1:42" x14ac:dyDescent="0.2">
      <c r="A251" s="11">
        <v>341021</v>
      </c>
      <c r="B251" s="31" t="s">
        <v>112</v>
      </c>
      <c r="C251" s="15">
        <v>0.2</v>
      </c>
      <c r="D251" s="8" t="s">
        <v>177</v>
      </c>
      <c r="E251" s="8" t="s">
        <v>139</v>
      </c>
      <c r="F251" s="19">
        <v>94</v>
      </c>
      <c r="I251">
        <v>40</v>
      </c>
      <c r="J251" s="10"/>
      <c r="K251" s="15">
        <v>1257</v>
      </c>
      <c r="L251" s="32">
        <v>1</v>
      </c>
      <c r="M251">
        <v>19</v>
      </c>
      <c r="N251">
        <v>19</v>
      </c>
      <c r="O251" s="42">
        <f>C251*F251</f>
        <v>18.8</v>
      </c>
      <c r="Q251" s="22">
        <v>1</v>
      </c>
      <c r="S251" s="16" t="s">
        <v>278</v>
      </c>
      <c r="T251" s="26" t="s">
        <v>238</v>
      </c>
      <c r="U251" s="26" t="s">
        <v>258</v>
      </c>
      <c r="V251" s="26" t="s">
        <v>255</v>
      </c>
      <c r="W251" s="26"/>
      <c r="X251" s="26" t="s">
        <v>563</v>
      </c>
      <c r="Z251" s="27" t="s">
        <v>563</v>
      </c>
      <c r="AA251" s="15">
        <v>0.2</v>
      </c>
      <c r="AB251" s="42"/>
      <c r="AC251">
        <f t="shared" si="18"/>
        <v>0.2</v>
      </c>
      <c r="AD251" t="str">
        <f t="shared" si="16"/>
        <v>Socorro:1912-2006</v>
      </c>
      <c r="AE251" t="s">
        <v>202</v>
      </c>
      <c r="AF251" t="s">
        <v>222</v>
      </c>
    </row>
    <row r="252" spans="1:42" s="43" customFormat="1" x14ac:dyDescent="0.2">
      <c r="A252">
        <v>360050</v>
      </c>
      <c r="B252" t="s">
        <v>67</v>
      </c>
      <c r="C252" s="32"/>
      <c r="D252" s="8" t="s">
        <v>459</v>
      </c>
      <c r="E252" s="8" t="s">
        <v>460</v>
      </c>
      <c r="F252">
        <v>0.28767123287671231</v>
      </c>
      <c r="G252"/>
      <c r="H252"/>
      <c r="I252">
        <v>1</v>
      </c>
      <c r="J252"/>
      <c r="K252">
        <v>1</v>
      </c>
      <c r="L252" s="32">
        <v>1</v>
      </c>
      <c r="M252">
        <v>0.2</v>
      </c>
      <c r="N252">
        <v>0.8</v>
      </c>
      <c r="O252">
        <v>3</v>
      </c>
      <c r="P252"/>
      <c r="Q252" s="34">
        <v>2</v>
      </c>
      <c r="R252"/>
      <c r="S252"/>
      <c r="T252" s="26" t="s">
        <v>234</v>
      </c>
      <c r="U252" s="26" t="s">
        <v>260</v>
      </c>
      <c r="V252" s="26" t="s">
        <v>250</v>
      </c>
      <c r="W252" s="27" t="s">
        <v>554</v>
      </c>
      <c r="X252" s="27" t="s">
        <v>293</v>
      </c>
      <c r="Y252" t="s">
        <v>286</v>
      </c>
      <c r="Z252" t="s">
        <v>297</v>
      </c>
      <c r="AA252" s="32"/>
      <c r="AB252">
        <v>3</v>
      </c>
      <c r="AC252">
        <f t="shared" si="18"/>
        <v>0</v>
      </c>
      <c r="AD252" t="str">
        <f t="shared" si="16"/>
        <v>Soufrière Hills:4 Jul 1999-17 Oct 1999</v>
      </c>
      <c r="AE252" t="s">
        <v>202</v>
      </c>
      <c r="AF252" t="s">
        <v>222</v>
      </c>
      <c r="AG252"/>
      <c r="AH252"/>
      <c r="AI252"/>
      <c r="AJ252"/>
      <c r="AK252"/>
      <c r="AL252"/>
      <c r="AM252"/>
      <c r="AN252"/>
      <c r="AO252"/>
      <c r="AP252"/>
    </row>
    <row r="253" spans="1:42" x14ac:dyDescent="0.2">
      <c r="A253">
        <v>360050</v>
      </c>
      <c r="B253" s="8" t="s">
        <v>67</v>
      </c>
      <c r="C253" s="15">
        <v>15</v>
      </c>
      <c r="D253" s="8" t="s">
        <v>157</v>
      </c>
      <c r="E253" s="8" t="s">
        <v>156</v>
      </c>
      <c r="F253" s="19">
        <v>2</v>
      </c>
      <c r="J253" s="10"/>
      <c r="O253" s="45">
        <f>C253*F253</f>
        <v>30</v>
      </c>
      <c r="Q253" s="22">
        <v>2</v>
      </c>
      <c r="S253" s="16" t="s">
        <v>280</v>
      </c>
      <c r="T253" s="26" t="s">
        <v>234</v>
      </c>
      <c r="U253" s="26" t="s">
        <v>260</v>
      </c>
      <c r="V253" s="26" t="s">
        <v>250</v>
      </c>
      <c r="W253" s="26"/>
      <c r="X253" s="27" t="s">
        <v>294</v>
      </c>
      <c r="Y253" t="s">
        <v>290</v>
      </c>
      <c r="Z253" t="s">
        <v>300</v>
      </c>
      <c r="AA253" s="15">
        <f>-1*C253</f>
        <v>-15</v>
      </c>
      <c r="AB253" s="42"/>
      <c r="AC253">
        <f t="shared" si="18"/>
        <v>15</v>
      </c>
      <c r="AD253" t="str">
        <f t="shared" si="16"/>
        <v>Soufrière Hills:1998-2000</v>
      </c>
      <c r="AE253" t="s">
        <v>202</v>
      </c>
      <c r="AF253" t="s">
        <v>222</v>
      </c>
    </row>
    <row r="254" spans="1:42" x14ac:dyDescent="0.2">
      <c r="A254">
        <v>360050</v>
      </c>
      <c r="B254" t="s">
        <v>67</v>
      </c>
      <c r="C254" s="32"/>
      <c r="D254" s="8" t="s">
        <v>461</v>
      </c>
      <c r="E254" s="8" t="s">
        <v>462</v>
      </c>
      <c r="F254">
        <v>9.5890410958904104E-2</v>
      </c>
      <c r="I254">
        <v>1</v>
      </c>
      <c r="K254">
        <v>1</v>
      </c>
      <c r="L254" s="32">
        <v>1</v>
      </c>
      <c r="M254">
        <v>0.2</v>
      </c>
      <c r="N254">
        <v>0.9</v>
      </c>
      <c r="O254">
        <v>4</v>
      </c>
      <c r="Q254" s="34">
        <v>2</v>
      </c>
      <c r="T254" s="26" t="s">
        <v>234</v>
      </c>
      <c r="U254" s="26" t="s">
        <v>260</v>
      </c>
      <c r="V254" s="26" t="s">
        <v>250</v>
      </c>
      <c r="W254" s="27" t="s">
        <v>554</v>
      </c>
      <c r="X254" s="27" t="s">
        <v>293</v>
      </c>
      <c r="Y254" t="s">
        <v>293</v>
      </c>
      <c r="Z254" t="s">
        <v>297</v>
      </c>
      <c r="AA254" s="32"/>
      <c r="AB254">
        <v>4</v>
      </c>
      <c r="AC254">
        <f t="shared" si="18"/>
        <v>0</v>
      </c>
      <c r="AD254" t="str">
        <f t="shared" si="16"/>
        <v>Soufrière Hills:2 Jun 2000-7 Jul 2000</v>
      </c>
      <c r="AE254" t="s">
        <v>202</v>
      </c>
      <c r="AF254" t="s">
        <v>222</v>
      </c>
    </row>
    <row r="255" spans="1:42" x14ac:dyDescent="0.2">
      <c r="A255">
        <v>313040</v>
      </c>
      <c r="B255" t="s">
        <v>350</v>
      </c>
      <c r="C255" s="32">
        <f>O255/F255</f>
        <v>5</v>
      </c>
      <c r="D255" s="8" t="s">
        <v>463</v>
      </c>
      <c r="E255" s="8" t="s">
        <v>390</v>
      </c>
      <c r="F255">
        <v>1</v>
      </c>
      <c r="H255">
        <v>20</v>
      </c>
      <c r="I255">
        <v>35</v>
      </c>
      <c r="K255">
        <v>962</v>
      </c>
      <c r="L255" s="32">
        <v>1</v>
      </c>
      <c r="M255">
        <v>10</v>
      </c>
      <c r="N255">
        <v>14</v>
      </c>
      <c r="O255">
        <v>5</v>
      </c>
      <c r="Q255" s="34">
        <v>1</v>
      </c>
      <c r="T255" s="26" t="s">
        <v>234</v>
      </c>
      <c r="U255" s="26" t="s">
        <v>252</v>
      </c>
      <c r="V255" s="26" t="s">
        <v>250</v>
      </c>
      <c r="W255" s="27" t="s">
        <v>554</v>
      </c>
      <c r="X255" s="27" t="s">
        <v>293</v>
      </c>
      <c r="Y255" t="s">
        <v>293</v>
      </c>
      <c r="Z255" t="s">
        <v>299</v>
      </c>
      <c r="AA255" s="32"/>
      <c r="AB255">
        <v>5</v>
      </c>
      <c r="AC255">
        <f t="shared" ref="AC255:AC267" si="21">ABS(C255)</f>
        <v>5</v>
      </c>
      <c r="AD255" t="str">
        <f t="shared" si="16"/>
        <v>Spurr:2004-2005</v>
      </c>
      <c r="AE255" t="s">
        <v>202</v>
      </c>
      <c r="AF255" t="s">
        <v>222</v>
      </c>
    </row>
    <row r="256" spans="1:42" x14ac:dyDescent="0.2">
      <c r="A256">
        <v>321050</v>
      </c>
      <c r="B256" s="8" t="s">
        <v>68</v>
      </c>
      <c r="C256" s="15">
        <v>1.5</v>
      </c>
      <c r="D256" s="8" t="s">
        <v>136</v>
      </c>
      <c r="E256" s="8" t="s">
        <v>135</v>
      </c>
      <c r="F256" s="19">
        <v>12</v>
      </c>
      <c r="I256">
        <v>10</v>
      </c>
      <c r="J256" s="10"/>
      <c r="K256" s="15">
        <v>79</v>
      </c>
      <c r="L256" s="32">
        <v>1</v>
      </c>
      <c r="M256">
        <v>12</v>
      </c>
      <c r="N256">
        <v>12</v>
      </c>
      <c r="O256" s="45">
        <f>C256*F256</f>
        <v>18</v>
      </c>
      <c r="Q256" s="22">
        <v>2</v>
      </c>
      <c r="S256" s="16" t="s">
        <v>277</v>
      </c>
      <c r="T256" s="26" t="s">
        <v>234</v>
      </c>
      <c r="U256" s="26" t="s">
        <v>252</v>
      </c>
      <c r="V256" s="26" t="s">
        <v>253</v>
      </c>
      <c r="W256" s="26"/>
      <c r="X256" s="27" t="s">
        <v>294</v>
      </c>
      <c r="Y256" t="s">
        <v>290</v>
      </c>
      <c r="Z256" t="s">
        <v>308</v>
      </c>
      <c r="AA256" s="15">
        <f>-1*C256</f>
        <v>-1.5</v>
      </c>
      <c r="AB256" s="42"/>
      <c r="AC256">
        <f t="shared" si="21"/>
        <v>1.5</v>
      </c>
      <c r="AD256" t="str">
        <f t="shared" si="16"/>
        <v>St. Helens:1992-2004</v>
      </c>
      <c r="AE256" t="s">
        <v>202</v>
      </c>
      <c r="AF256" t="s">
        <v>222</v>
      </c>
    </row>
    <row r="257" spans="1:42" x14ac:dyDescent="0.2">
      <c r="A257">
        <v>321050</v>
      </c>
      <c r="B257" t="s">
        <v>68</v>
      </c>
      <c r="C257" s="32">
        <f>O257/F257</f>
        <v>5</v>
      </c>
      <c r="D257" s="8" t="s">
        <v>463</v>
      </c>
      <c r="E257" s="8" t="s">
        <v>390</v>
      </c>
      <c r="F257">
        <v>1</v>
      </c>
      <c r="I257">
        <v>10</v>
      </c>
      <c r="K257">
        <v>79</v>
      </c>
      <c r="L257" s="32">
        <v>1</v>
      </c>
      <c r="O257">
        <v>5</v>
      </c>
      <c r="Q257" s="34">
        <v>2</v>
      </c>
      <c r="T257" s="26" t="s">
        <v>234</v>
      </c>
      <c r="U257" s="26" t="s">
        <v>252</v>
      </c>
      <c r="V257" s="26" t="s">
        <v>253</v>
      </c>
      <c r="W257" s="27" t="s">
        <v>554</v>
      </c>
      <c r="X257" s="27" t="s">
        <v>294</v>
      </c>
      <c r="Y257" t="s">
        <v>290</v>
      </c>
      <c r="Z257" t="s">
        <v>297</v>
      </c>
      <c r="AA257" s="15">
        <f>-1*C257</f>
        <v>-5</v>
      </c>
      <c r="AB257" s="42"/>
      <c r="AC257">
        <f t="shared" si="21"/>
        <v>5</v>
      </c>
      <c r="AD257" t="str">
        <f t="shared" si="16"/>
        <v>St. Helens:2004-2005</v>
      </c>
      <c r="AE257" t="s">
        <v>202</v>
      </c>
      <c r="AF257" t="s">
        <v>222</v>
      </c>
    </row>
    <row r="258" spans="1:42" s="43" customFormat="1" x14ac:dyDescent="0.2">
      <c r="A258">
        <v>252090</v>
      </c>
      <c r="B258" s="8" t="s">
        <v>113</v>
      </c>
      <c r="C258" s="15">
        <v>100</v>
      </c>
      <c r="D258" s="8" t="s">
        <v>178</v>
      </c>
      <c r="E258" s="8" t="s">
        <v>178</v>
      </c>
      <c r="F258" s="24">
        <v>2.7400000000000001E-2</v>
      </c>
      <c r="G258"/>
      <c r="H258"/>
      <c r="I258">
        <v>15</v>
      </c>
      <c r="J258" s="10"/>
      <c r="K258">
        <v>177</v>
      </c>
      <c r="L258" s="32">
        <v>1</v>
      </c>
      <c r="M258"/>
      <c r="N258"/>
      <c r="O258" s="45">
        <f>C258*F258</f>
        <v>2.74</v>
      </c>
      <c r="P258"/>
      <c r="Q258" s="22">
        <v>1</v>
      </c>
      <c r="R258"/>
      <c r="S258" s="16" t="s">
        <v>274</v>
      </c>
      <c r="T258" s="26" t="s">
        <v>236</v>
      </c>
      <c r="U258" s="26" t="s">
        <v>252</v>
      </c>
      <c r="V258" s="26" t="s">
        <v>250</v>
      </c>
      <c r="W258" s="26"/>
      <c r="X258" s="26"/>
      <c r="Y258"/>
      <c r="Z258" t="s">
        <v>299</v>
      </c>
      <c r="AA258" s="15">
        <v>100</v>
      </c>
      <c r="AB258" s="45"/>
      <c r="AC258">
        <f t="shared" si="21"/>
        <v>100</v>
      </c>
      <c r="AD258" t="str">
        <f t="shared" ref="AD258:AD294" si="22">_xlfn.CONCAT(B258,$AK$3,D258,$AK$2,E258)</f>
        <v>Sulu Range:Jul 2006-Jul 2006</v>
      </c>
      <c r="AE258" t="s">
        <v>202</v>
      </c>
      <c r="AF258" t="s">
        <v>222</v>
      </c>
      <c r="AG258"/>
      <c r="AH258"/>
      <c r="AI258"/>
      <c r="AJ258"/>
      <c r="AK258"/>
      <c r="AL258"/>
      <c r="AM258"/>
      <c r="AN258"/>
      <c r="AO258"/>
      <c r="AP258"/>
    </row>
    <row r="259" spans="1:42" s="43" customFormat="1" x14ac:dyDescent="0.2">
      <c r="A259">
        <v>222110</v>
      </c>
      <c r="B259" t="s">
        <v>37</v>
      </c>
      <c r="C259" s="32"/>
      <c r="D259" s="8" t="s">
        <v>442</v>
      </c>
      <c r="E259" s="8" t="s">
        <v>520</v>
      </c>
      <c r="F259">
        <v>3</v>
      </c>
      <c r="G259"/>
      <c r="H259"/>
      <c r="I259">
        <v>5</v>
      </c>
      <c r="J259"/>
      <c r="K259">
        <v>20</v>
      </c>
      <c r="L259" s="32">
        <v>1</v>
      </c>
      <c r="M259">
        <v>2</v>
      </c>
      <c r="N259">
        <v>2</v>
      </c>
      <c r="O259">
        <v>4.5999999999999996</v>
      </c>
      <c r="P259"/>
      <c r="Q259" s="34">
        <v>1</v>
      </c>
      <c r="R259"/>
      <c r="S259"/>
      <c r="T259" s="26" t="s">
        <v>238</v>
      </c>
      <c r="U259" s="27" t="s">
        <v>254</v>
      </c>
      <c r="V259" s="27" t="s">
        <v>261</v>
      </c>
      <c r="W259" s="27" t="s">
        <v>554</v>
      </c>
      <c r="X259" s="27" t="s">
        <v>294</v>
      </c>
      <c r="Y259" t="s">
        <v>287</v>
      </c>
      <c r="Z259" t="s">
        <v>304</v>
      </c>
      <c r="AA259" s="15">
        <f>-1*C259</f>
        <v>0</v>
      </c>
      <c r="AB259" s="42"/>
      <c r="AC259">
        <f t="shared" si="21"/>
        <v>0</v>
      </c>
      <c r="AD259" t="str">
        <f t="shared" si="22"/>
        <v>Suswa:1997-2000</v>
      </c>
      <c r="AE259" t="s">
        <v>202</v>
      </c>
      <c r="AF259" t="s">
        <v>222</v>
      </c>
      <c r="AG259"/>
      <c r="AH259"/>
      <c r="AI259"/>
      <c r="AJ259"/>
      <c r="AK259"/>
      <c r="AL259"/>
      <c r="AM259"/>
      <c r="AN259"/>
      <c r="AO259"/>
      <c r="AP259"/>
    </row>
    <row r="260" spans="1:42" x14ac:dyDescent="0.2">
      <c r="A260">
        <v>222110</v>
      </c>
      <c r="B260" s="29" t="s">
        <v>37</v>
      </c>
      <c r="C260" s="18">
        <v>4.3</v>
      </c>
      <c r="D260" s="2"/>
      <c r="E260" s="2"/>
      <c r="F260" s="2" t="s">
        <v>11</v>
      </c>
      <c r="G260" s="2" t="s">
        <v>7</v>
      </c>
      <c r="H260" s="2">
        <v>0</v>
      </c>
      <c r="K260" s="18">
        <v>56</v>
      </c>
      <c r="L260" s="2"/>
      <c r="M260" s="2"/>
      <c r="N260" s="2"/>
      <c r="O260" s="2"/>
      <c r="P260" s="2">
        <v>0</v>
      </c>
      <c r="Q260" s="23">
        <v>1</v>
      </c>
      <c r="S260" s="16" t="s">
        <v>271</v>
      </c>
      <c r="T260" s="26" t="s">
        <v>238</v>
      </c>
      <c r="U260" s="27" t="s">
        <v>254</v>
      </c>
      <c r="V260" s="27" t="s">
        <v>261</v>
      </c>
      <c r="W260" s="27"/>
      <c r="X260" s="26" t="s">
        <v>563</v>
      </c>
      <c r="Y260" s="27"/>
      <c r="Z260" s="26" t="s">
        <v>563</v>
      </c>
      <c r="AA260" s="18">
        <v>4.3</v>
      </c>
      <c r="AB260" s="2"/>
      <c r="AC260">
        <f t="shared" si="21"/>
        <v>4.3</v>
      </c>
      <c r="AD260" t="str">
        <f t="shared" si="22"/>
        <v>Suswa:-</v>
      </c>
      <c r="AE260" t="s">
        <v>40</v>
      </c>
    </row>
    <row r="261" spans="1:42" x14ac:dyDescent="0.2">
      <c r="A261">
        <v>221010</v>
      </c>
      <c r="B261" t="s">
        <v>337</v>
      </c>
      <c r="C261" s="32"/>
      <c r="D261" s="8" t="s">
        <v>464</v>
      </c>
      <c r="E261" s="8" t="s">
        <v>465</v>
      </c>
      <c r="F261">
        <v>0.12602739726027398</v>
      </c>
      <c r="O261">
        <v>35</v>
      </c>
      <c r="Q261" s="34">
        <v>2</v>
      </c>
      <c r="T261" s="26" t="s">
        <v>234</v>
      </c>
      <c r="U261" s="27" t="s">
        <v>258</v>
      </c>
      <c r="V261" s="27" t="s">
        <v>259</v>
      </c>
      <c r="W261" s="27" t="s">
        <v>554</v>
      </c>
      <c r="X261" s="27" t="s">
        <v>561</v>
      </c>
      <c r="Y261" t="s">
        <v>288</v>
      </c>
      <c r="Z261" t="s">
        <v>297</v>
      </c>
      <c r="AA261" s="15">
        <f>-1*C261</f>
        <v>0</v>
      </c>
      <c r="AB261" s="42"/>
      <c r="AC261">
        <f t="shared" si="21"/>
        <v>0</v>
      </c>
      <c r="AD261" t="str">
        <f t="shared" si="22"/>
        <v>Tair, Jebel at:7 Sep 2007-23 Oct 2007</v>
      </c>
      <c r="AE261" t="s">
        <v>202</v>
      </c>
      <c r="AF261" t="s">
        <v>222</v>
      </c>
    </row>
    <row r="262" spans="1:42" x14ac:dyDescent="0.2">
      <c r="A262">
        <v>311080</v>
      </c>
      <c r="B262" t="s">
        <v>211</v>
      </c>
      <c r="C262" s="32"/>
      <c r="D262" s="8" t="s">
        <v>565</v>
      </c>
      <c r="E262" s="8" t="s">
        <v>536</v>
      </c>
      <c r="F262">
        <v>8.4931506849315067E-2</v>
      </c>
      <c r="H262">
        <v>6</v>
      </c>
      <c r="I262">
        <v>16</v>
      </c>
      <c r="K262">
        <v>201</v>
      </c>
      <c r="L262" s="32">
        <v>1.2</v>
      </c>
      <c r="M262">
        <v>5</v>
      </c>
      <c r="N262">
        <v>8</v>
      </c>
      <c r="O262">
        <v>5</v>
      </c>
      <c r="Q262" s="34">
        <v>1</v>
      </c>
      <c r="T262" s="16" t="s">
        <v>236</v>
      </c>
      <c r="U262" s="16" t="s">
        <v>249</v>
      </c>
      <c r="V262" s="16" t="s">
        <v>251</v>
      </c>
      <c r="W262" s="27" t="s">
        <v>554</v>
      </c>
      <c r="X262" s="27" t="s">
        <v>293</v>
      </c>
      <c r="Y262" t="s">
        <v>293</v>
      </c>
      <c r="Z262" t="s">
        <v>299</v>
      </c>
      <c r="AA262" s="32"/>
      <c r="AB262">
        <v>5</v>
      </c>
      <c r="AC262">
        <f t="shared" si="21"/>
        <v>0</v>
      </c>
      <c r="AD262" t="str">
        <f t="shared" si="22"/>
        <v>Tanaga:Oct 2005-Nov 2005</v>
      </c>
      <c r="AE262" t="s">
        <v>202</v>
      </c>
      <c r="AF262" t="s">
        <v>222</v>
      </c>
    </row>
    <row r="263" spans="1:42" x14ac:dyDescent="0.2">
      <c r="A263">
        <v>281032</v>
      </c>
      <c r="B263" s="8" t="s">
        <v>114</v>
      </c>
      <c r="C263" s="15">
        <v>0.8</v>
      </c>
      <c r="D263" s="8" t="s">
        <v>148</v>
      </c>
      <c r="E263" s="8" t="s">
        <v>163</v>
      </c>
      <c r="F263" s="19">
        <v>4</v>
      </c>
      <c r="J263" s="10"/>
      <c r="O263" s="45">
        <f>C263*F263</f>
        <v>3.2</v>
      </c>
      <c r="Q263" s="22">
        <v>1</v>
      </c>
      <c r="S263" s="16" t="s">
        <v>275</v>
      </c>
      <c r="T263" s="26" t="s">
        <v>243</v>
      </c>
      <c r="U263" s="26" t="s">
        <v>252</v>
      </c>
      <c r="V263" s="26" t="s">
        <v>250</v>
      </c>
      <c r="W263" s="26"/>
      <c r="X263" s="27" t="s">
        <v>293</v>
      </c>
      <c r="Y263" t="s">
        <v>293</v>
      </c>
      <c r="AA263" s="15">
        <v>0.8</v>
      </c>
      <c r="AB263" s="45"/>
      <c r="AC263">
        <f t="shared" si="21"/>
        <v>0.8</v>
      </c>
      <c r="AD263" t="str">
        <f t="shared" si="22"/>
        <v>Tatun Group:2007-2011</v>
      </c>
      <c r="AE263" t="s">
        <v>202</v>
      </c>
      <c r="AF263" t="s">
        <v>222</v>
      </c>
    </row>
    <row r="264" spans="1:42" x14ac:dyDescent="0.2">
      <c r="A264">
        <v>213030</v>
      </c>
      <c r="B264" s="8" t="s">
        <v>116</v>
      </c>
      <c r="C264" s="15">
        <v>1</v>
      </c>
      <c r="D264" s="8" t="s">
        <v>134</v>
      </c>
      <c r="E264" s="8" t="s">
        <v>182</v>
      </c>
      <c r="F264" s="19">
        <v>7</v>
      </c>
      <c r="I264">
        <v>12</v>
      </c>
      <c r="J264" s="10"/>
      <c r="K264" s="15">
        <v>113</v>
      </c>
      <c r="L264" s="32">
        <v>1</v>
      </c>
      <c r="M264">
        <v>4.5</v>
      </c>
      <c r="N264">
        <v>4.5</v>
      </c>
      <c r="O264" s="42">
        <f>C264*F264</f>
        <v>7</v>
      </c>
      <c r="Q264" s="22">
        <v>1</v>
      </c>
      <c r="S264" s="16" t="s">
        <v>271</v>
      </c>
      <c r="T264" s="26" t="s">
        <v>238</v>
      </c>
      <c r="U264" s="26" t="s">
        <v>263</v>
      </c>
      <c r="V264" s="26" t="s">
        <v>251</v>
      </c>
      <c r="W264" s="26"/>
      <c r="X264" s="27" t="s">
        <v>294</v>
      </c>
      <c r="Y264" t="s">
        <v>287</v>
      </c>
      <c r="Z264" t="s">
        <v>298</v>
      </c>
      <c r="AA264" s="15">
        <f>-1*C264</f>
        <v>-1</v>
      </c>
      <c r="AB264" s="42"/>
      <c r="AC264">
        <f t="shared" si="21"/>
        <v>1</v>
      </c>
      <c r="AD264" t="str">
        <f t="shared" si="22"/>
        <v>Tenduruk Dagi:2003-2010</v>
      </c>
      <c r="AE264" t="s">
        <v>202</v>
      </c>
      <c r="AF264" t="s">
        <v>222</v>
      </c>
    </row>
    <row r="265" spans="1:42" x14ac:dyDescent="0.2">
      <c r="A265">
        <v>383030</v>
      </c>
      <c r="B265" s="8" t="s">
        <v>117</v>
      </c>
      <c r="C265" s="15">
        <v>0.4</v>
      </c>
      <c r="D265" s="8" t="s">
        <v>129</v>
      </c>
      <c r="E265" s="8" t="s">
        <v>164</v>
      </c>
      <c r="F265" s="19">
        <v>12</v>
      </c>
      <c r="J265" s="10"/>
      <c r="O265" s="45">
        <f>C265*F265</f>
        <v>4.8000000000000007</v>
      </c>
      <c r="Q265" s="22">
        <v>1</v>
      </c>
      <c r="S265" s="16" t="s">
        <v>282</v>
      </c>
      <c r="T265" s="26" t="s">
        <v>234</v>
      </c>
      <c r="U265" s="26" t="s">
        <v>257</v>
      </c>
      <c r="V265" s="26" t="s">
        <v>261</v>
      </c>
      <c r="W265" s="26"/>
      <c r="X265" s="27" t="s">
        <v>294</v>
      </c>
      <c r="Y265" t="s">
        <v>290</v>
      </c>
      <c r="AA265" s="15">
        <f>-1*C265</f>
        <v>-0.4</v>
      </c>
      <c r="AB265" s="42"/>
      <c r="AC265">
        <f t="shared" si="21"/>
        <v>0.4</v>
      </c>
      <c r="AD265" t="str">
        <f t="shared" si="22"/>
        <v>Tenerife:1993-2005</v>
      </c>
      <c r="AE265" t="s">
        <v>202</v>
      </c>
      <c r="AF265" t="s">
        <v>222</v>
      </c>
    </row>
    <row r="266" spans="1:42" x14ac:dyDescent="0.2">
      <c r="A266">
        <v>373090</v>
      </c>
      <c r="B266" t="s">
        <v>351</v>
      </c>
      <c r="C266" s="32"/>
      <c r="D266" s="8" t="s">
        <v>164</v>
      </c>
      <c r="E266" s="8" t="s">
        <v>179</v>
      </c>
      <c r="F266">
        <v>4</v>
      </c>
      <c r="O266">
        <v>3</v>
      </c>
      <c r="Q266" s="34">
        <v>1</v>
      </c>
      <c r="T266" s="26" t="s">
        <v>238</v>
      </c>
      <c r="U266" s="26" t="s">
        <v>258</v>
      </c>
      <c r="V266" s="26" t="s">
        <v>251</v>
      </c>
      <c r="W266" s="27" t="s">
        <v>554</v>
      </c>
      <c r="X266" s="27" t="s">
        <v>293</v>
      </c>
      <c r="Y266" t="s">
        <v>286</v>
      </c>
      <c r="Z266" t="s">
        <v>299</v>
      </c>
      <c r="AA266" s="32"/>
      <c r="AB266">
        <v>3</v>
      </c>
      <c r="AC266">
        <f t="shared" si="21"/>
        <v>0</v>
      </c>
      <c r="AD266" t="str">
        <f t="shared" si="22"/>
        <v>Theistareykjarbunga:2005-2009</v>
      </c>
      <c r="AE266" t="s">
        <v>202</v>
      </c>
      <c r="AF266" t="s">
        <v>222</v>
      </c>
    </row>
    <row r="267" spans="1:42" x14ac:dyDescent="0.2">
      <c r="A267">
        <v>322070</v>
      </c>
      <c r="B267" t="s">
        <v>213</v>
      </c>
      <c r="C267" s="32"/>
      <c r="D267" s="8" t="s">
        <v>537</v>
      </c>
      <c r="E267" s="8" t="s">
        <v>182</v>
      </c>
      <c r="F267">
        <v>14</v>
      </c>
      <c r="H267">
        <v>5</v>
      </c>
      <c r="I267">
        <v>20</v>
      </c>
      <c r="J267">
        <v>10</v>
      </c>
      <c r="K267">
        <v>157</v>
      </c>
      <c r="L267" s="32">
        <v>2</v>
      </c>
      <c r="M267">
        <v>6</v>
      </c>
      <c r="N267">
        <v>6</v>
      </c>
      <c r="O267">
        <v>25</v>
      </c>
      <c r="Q267" s="34">
        <v>1</v>
      </c>
      <c r="T267" s="26" t="s">
        <v>235</v>
      </c>
      <c r="U267" s="26" t="s">
        <v>252</v>
      </c>
      <c r="V267" s="26" t="s">
        <v>250</v>
      </c>
      <c r="W267" s="27" t="s">
        <v>554</v>
      </c>
      <c r="X267" s="27" t="s">
        <v>293</v>
      </c>
      <c r="Y267" t="s">
        <v>293</v>
      </c>
      <c r="Z267" t="s">
        <v>299</v>
      </c>
      <c r="AA267" s="32"/>
      <c r="AB267">
        <v>25</v>
      </c>
      <c r="AC267">
        <f t="shared" si="21"/>
        <v>0</v>
      </c>
      <c r="AD267" t="str">
        <f t="shared" si="22"/>
        <v>Three Sisters:1996-2010</v>
      </c>
      <c r="AE267" t="s">
        <v>202</v>
      </c>
      <c r="AF267" t="s">
        <v>222</v>
      </c>
    </row>
    <row r="268" spans="1:42" x14ac:dyDescent="0.2">
      <c r="A268">
        <v>354031</v>
      </c>
      <c r="B268" t="s">
        <v>352</v>
      </c>
      <c r="C268" s="32"/>
      <c r="D268" s="8" t="s">
        <v>538</v>
      </c>
      <c r="E268" s="8" t="s">
        <v>539</v>
      </c>
      <c r="F268">
        <f>146/365</f>
        <v>0.4</v>
      </c>
      <c r="O268">
        <v>6</v>
      </c>
      <c r="Q268" s="34">
        <v>1</v>
      </c>
      <c r="T268" s="16" t="s">
        <v>243</v>
      </c>
      <c r="U268" s="16" t="s">
        <v>252</v>
      </c>
      <c r="V268" s="16" t="s">
        <v>253</v>
      </c>
      <c r="W268" s="27" t="s">
        <v>554</v>
      </c>
      <c r="X268" s="27" t="s">
        <v>294</v>
      </c>
      <c r="Y268" t="s">
        <v>290</v>
      </c>
      <c r="Z268" t="s">
        <v>307</v>
      </c>
      <c r="AA268" s="15">
        <f>-1*C268</f>
        <v>0</v>
      </c>
      <c r="AB268" s="42"/>
      <c r="AD268" t="str">
        <f t="shared" si="22"/>
        <v>Ticsani:6/29/2005-11/22/2005</v>
      </c>
      <c r="AE268" t="s">
        <v>202</v>
      </c>
      <c r="AF268" t="s">
        <v>222</v>
      </c>
    </row>
    <row r="269" spans="1:42" x14ac:dyDescent="0.2">
      <c r="A269">
        <v>354031</v>
      </c>
      <c r="B269" t="s">
        <v>352</v>
      </c>
      <c r="C269" s="32"/>
      <c r="D269" s="8" t="s">
        <v>538</v>
      </c>
      <c r="E269" s="8" t="s">
        <v>539</v>
      </c>
      <c r="F269">
        <f>146/365</f>
        <v>0.4</v>
      </c>
      <c r="O269">
        <v>8</v>
      </c>
      <c r="Q269" s="34">
        <v>1</v>
      </c>
      <c r="T269" s="16" t="s">
        <v>243</v>
      </c>
      <c r="U269" s="16" t="s">
        <v>252</v>
      </c>
      <c r="V269" s="16" t="s">
        <v>253</v>
      </c>
      <c r="W269" s="27" t="s">
        <v>554</v>
      </c>
      <c r="X269" s="27" t="s">
        <v>561</v>
      </c>
      <c r="Y269" t="s">
        <v>292</v>
      </c>
      <c r="Z269" t="s">
        <v>316</v>
      </c>
      <c r="AA269" s="32"/>
      <c r="AB269">
        <v>8</v>
      </c>
      <c r="AD269" t="str">
        <f t="shared" si="22"/>
        <v>Ticsani:6/29/2005-11/22/2005</v>
      </c>
      <c r="AE269" t="s">
        <v>202</v>
      </c>
      <c r="AF269" t="s">
        <v>222</v>
      </c>
    </row>
    <row r="270" spans="1:42" x14ac:dyDescent="0.2">
      <c r="A270">
        <v>300240</v>
      </c>
      <c r="B270" s="8" t="s">
        <v>69</v>
      </c>
      <c r="C270" s="15">
        <v>2.5</v>
      </c>
      <c r="D270" s="8" t="s">
        <v>158</v>
      </c>
      <c r="E270" s="8" t="s">
        <v>194</v>
      </c>
      <c r="F270" s="19">
        <v>2.9589041095890409</v>
      </c>
      <c r="J270" s="10"/>
      <c r="O270" s="45">
        <f>C270*F270</f>
        <v>7.3972602739726021</v>
      </c>
      <c r="Q270" s="22">
        <v>2</v>
      </c>
      <c r="S270" s="16" t="s">
        <v>276</v>
      </c>
      <c r="T270" s="26" t="s">
        <v>238</v>
      </c>
      <c r="U270" s="26" t="s">
        <v>252</v>
      </c>
      <c r="V270" s="26" t="s">
        <v>251</v>
      </c>
      <c r="W270" s="26"/>
      <c r="X270" s="27" t="s">
        <v>294</v>
      </c>
      <c r="Y270" t="s">
        <v>294</v>
      </c>
      <c r="Z270" t="s">
        <v>300</v>
      </c>
      <c r="AA270" s="15">
        <f>-1*C270</f>
        <v>-2.5</v>
      </c>
      <c r="AB270" s="42"/>
      <c r="AC270">
        <f t="shared" ref="AC270:AC277" si="23">ABS(C270)</f>
        <v>2.5</v>
      </c>
      <c r="AD270" t="str">
        <f t="shared" si="22"/>
        <v>Tolbachik (with Ostry Tolbachik and Plosky Tolbachik):2 Sep 2000-18 Aug 2003</v>
      </c>
      <c r="AE270" t="s">
        <v>202</v>
      </c>
      <c r="AF270" t="s">
        <v>222</v>
      </c>
    </row>
    <row r="271" spans="1:42" x14ac:dyDescent="0.2">
      <c r="A271">
        <v>300240</v>
      </c>
      <c r="B271" s="8" t="s">
        <v>69</v>
      </c>
      <c r="C271" s="15">
        <v>2.5</v>
      </c>
      <c r="D271" s="9">
        <v>33800</v>
      </c>
      <c r="E271" s="9">
        <v>36694</v>
      </c>
      <c r="F271" s="19">
        <v>7.9287671232876713</v>
      </c>
      <c r="J271" s="10"/>
      <c r="O271" s="45">
        <f>C271*F271</f>
        <v>19.82191780821918</v>
      </c>
      <c r="Q271" s="22">
        <v>2</v>
      </c>
      <c r="S271" s="16" t="s">
        <v>276</v>
      </c>
      <c r="T271" s="26" t="s">
        <v>238</v>
      </c>
      <c r="U271" s="26" t="s">
        <v>252</v>
      </c>
      <c r="V271" s="26" t="s">
        <v>251</v>
      </c>
      <c r="W271" s="26"/>
      <c r="X271" s="27" t="s">
        <v>294</v>
      </c>
      <c r="Y271" t="s">
        <v>294</v>
      </c>
      <c r="Z271" t="s">
        <v>300</v>
      </c>
      <c r="AA271" s="15">
        <f>-1*C271</f>
        <v>-2.5</v>
      </c>
      <c r="AB271" s="42"/>
      <c r="AC271">
        <f t="shared" si="23"/>
        <v>2.5</v>
      </c>
      <c r="AD271" t="str">
        <f t="shared" si="22"/>
        <v>Tolbachik (with Ostry Tolbachik and Plosky Tolbachik):33800-36694</v>
      </c>
      <c r="AE271" t="s">
        <v>202</v>
      </c>
      <c r="AF271" t="s">
        <v>222</v>
      </c>
    </row>
    <row r="272" spans="1:42" x14ac:dyDescent="0.2">
      <c r="A272">
        <v>300240</v>
      </c>
      <c r="B272" s="6" t="s">
        <v>69</v>
      </c>
      <c r="C272" s="32"/>
      <c r="D272" s="8" t="s">
        <v>466</v>
      </c>
      <c r="E272" s="8" t="s">
        <v>467</v>
      </c>
      <c r="F272">
        <v>0.76164383561643834</v>
      </c>
      <c r="O272">
        <v>100</v>
      </c>
      <c r="Q272" s="34">
        <v>2</v>
      </c>
      <c r="T272" s="26" t="s">
        <v>238</v>
      </c>
      <c r="U272" s="26" t="s">
        <v>252</v>
      </c>
      <c r="V272" s="26" t="s">
        <v>251</v>
      </c>
      <c r="W272" s="27" t="s">
        <v>554</v>
      </c>
      <c r="X272" s="27" t="s">
        <v>561</v>
      </c>
      <c r="Y272" t="s">
        <v>354</v>
      </c>
      <c r="Z272" t="s">
        <v>356</v>
      </c>
      <c r="AA272" s="32"/>
      <c r="AB272">
        <v>100</v>
      </c>
      <c r="AC272">
        <f t="shared" si="23"/>
        <v>0</v>
      </c>
      <c r="AD272" t="str">
        <f t="shared" si="22"/>
        <v>Tolbachik (with Ostry Tolbachik and Plosky Tolbachik):27 November 2012-1 Sept 2013</v>
      </c>
      <c r="AE272" t="s">
        <v>202</v>
      </c>
      <c r="AF272" t="s">
        <v>222</v>
      </c>
    </row>
    <row r="273" spans="1:42" x14ac:dyDescent="0.2">
      <c r="A273">
        <v>241080</v>
      </c>
      <c r="B273" s="31" t="s">
        <v>70</v>
      </c>
      <c r="C273" s="15">
        <v>2</v>
      </c>
      <c r="D273" s="8" t="s">
        <v>159</v>
      </c>
      <c r="E273" s="8" t="s">
        <v>195</v>
      </c>
      <c r="F273" s="19">
        <v>2.526027397260274</v>
      </c>
      <c r="J273" s="10"/>
      <c r="K273" s="15">
        <v>4</v>
      </c>
      <c r="L273" s="32">
        <v>1</v>
      </c>
      <c r="M273">
        <v>0.5</v>
      </c>
      <c r="N273">
        <v>0.5</v>
      </c>
      <c r="O273" s="42">
        <f>C273*F273</f>
        <v>5.0520547945205481</v>
      </c>
      <c r="Q273" s="22">
        <v>2</v>
      </c>
      <c r="S273" s="16" t="s">
        <v>273</v>
      </c>
      <c r="T273" s="26" t="s">
        <v>236</v>
      </c>
      <c r="U273" s="26" t="s">
        <v>252</v>
      </c>
      <c r="V273" s="26" t="s">
        <v>250</v>
      </c>
      <c r="W273" s="26"/>
      <c r="X273" s="27" t="s">
        <v>294</v>
      </c>
      <c r="Y273" s="8" t="s">
        <v>290</v>
      </c>
      <c r="Z273" t="s">
        <v>303</v>
      </c>
      <c r="AA273" s="15">
        <f>-1*C273</f>
        <v>-2</v>
      </c>
      <c r="AB273" s="42"/>
      <c r="AC273">
        <f t="shared" si="23"/>
        <v>2</v>
      </c>
      <c r="AD273" t="str">
        <f t="shared" si="22"/>
        <v>Tongariro:21 November 2012-1 June 2015</v>
      </c>
      <c r="AE273" t="s">
        <v>202</v>
      </c>
      <c r="AF273" t="s">
        <v>222</v>
      </c>
    </row>
    <row r="274" spans="1:42" x14ac:dyDescent="0.2">
      <c r="A274">
        <v>372050</v>
      </c>
      <c r="B274" s="8" t="s">
        <v>118</v>
      </c>
      <c r="C274" s="15">
        <v>0.7</v>
      </c>
      <c r="D274" s="8" t="s">
        <v>129</v>
      </c>
      <c r="E274" s="8" t="s">
        <v>156</v>
      </c>
      <c r="F274" s="19">
        <v>7</v>
      </c>
      <c r="I274">
        <v>20</v>
      </c>
      <c r="J274" s="10"/>
      <c r="K274" s="15">
        <v>314</v>
      </c>
      <c r="L274" s="32">
        <v>1</v>
      </c>
      <c r="M274">
        <v>8</v>
      </c>
      <c r="N274">
        <v>8</v>
      </c>
      <c r="O274" s="42">
        <f>C274*F274</f>
        <v>4.8999999999999995</v>
      </c>
      <c r="Q274" s="22">
        <v>1</v>
      </c>
      <c r="S274" s="16" t="s">
        <v>281</v>
      </c>
      <c r="T274" s="26" t="s">
        <v>234</v>
      </c>
      <c r="U274" s="26" t="s">
        <v>258</v>
      </c>
      <c r="V274" s="26" t="s">
        <v>256</v>
      </c>
      <c r="W274" s="26"/>
      <c r="X274" s="27" t="s">
        <v>294</v>
      </c>
      <c r="Y274" t="s">
        <v>287</v>
      </c>
      <c r="Z274" s="27" t="s">
        <v>563</v>
      </c>
      <c r="AA274" s="15">
        <f>-1*C274</f>
        <v>-0.7</v>
      </c>
      <c r="AB274" s="42"/>
      <c r="AC274">
        <f t="shared" si="23"/>
        <v>0.7</v>
      </c>
      <c r="AD274" t="str">
        <f t="shared" si="22"/>
        <v>Torfajokull:1993-2000</v>
      </c>
      <c r="AE274" t="s">
        <v>202</v>
      </c>
      <c r="AF274" t="s">
        <v>222</v>
      </c>
    </row>
    <row r="275" spans="1:42" x14ac:dyDescent="0.2">
      <c r="A275">
        <v>372050</v>
      </c>
      <c r="B275" s="8" t="s">
        <v>118</v>
      </c>
      <c r="C275" s="15">
        <v>1.2</v>
      </c>
      <c r="D275" s="8" t="s">
        <v>134</v>
      </c>
      <c r="E275" s="8" t="s">
        <v>148</v>
      </c>
      <c r="F275" s="19">
        <v>4</v>
      </c>
      <c r="I275">
        <v>20</v>
      </c>
      <c r="J275" s="10"/>
      <c r="K275" s="15">
        <v>314</v>
      </c>
      <c r="L275" s="32">
        <v>1</v>
      </c>
      <c r="M275">
        <v>8</v>
      </c>
      <c r="N275">
        <v>8</v>
      </c>
      <c r="O275" s="42">
        <f>C275*F275</f>
        <v>4.8</v>
      </c>
      <c r="Q275" s="22">
        <v>1</v>
      </c>
      <c r="S275" s="16" t="s">
        <v>281</v>
      </c>
      <c r="T275" s="26" t="s">
        <v>234</v>
      </c>
      <c r="U275" s="26" t="s">
        <v>258</v>
      </c>
      <c r="V275" s="26" t="s">
        <v>256</v>
      </c>
      <c r="W275" s="26"/>
      <c r="X275" s="27" t="s">
        <v>294</v>
      </c>
      <c r="Y275" t="s">
        <v>287</v>
      </c>
      <c r="Z275" s="27" t="s">
        <v>563</v>
      </c>
      <c r="AA275" s="15">
        <f>-1*C275</f>
        <v>-1.2</v>
      </c>
      <c r="AB275" s="42"/>
      <c r="AC275">
        <f t="shared" si="23"/>
        <v>1.2</v>
      </c>
      <c r="AD275" t="str">
        <f t="shared" si="22"/>
        <v>Torfajokull:2003-2007</v>
      </c>
      <c r="AE275" t="s">
        <v>202</v>
      </c>
      <c r="AF275" t="s">
        <v>222</v>
      </c>
    </row>
    <row r="276" spans="1:42" x14ac:dyDescent="0.2">
      <c r="A276">
        <v>312160</v>
      </c>
      <c r="B276" s="8" t="s">
        <v>119</v>
      </c>
      <c r="C276" s="15">
        <v>1</v>
      </c>
      <c r="D276" s="8" t="s">
        <v>145</v>
      </c>
      <c r="E276" s="8" t="s">
        <v>182</v>
      </c>
      <c r="F276" s="19">
        <v>15</v>
      </c>
      <c r="J276" s="10"/>
      <c r="O276" s="45">
        <f>C276*F276</f>
        <v>15</v>
      </c>
      <c r="Q276" s="22">
        <v>1</v>
      </c>
      <c r="S276" s="16" t="s">
        <v>248</v>
      </c>
      <c r="T276" s="26" t="s">
        <v>234</v>
      </c>
      <c r="U276" s="26" t="s">
        <v>252</v>
      </c>
      <c r="V276" s="26" t="s">
        <v>250</v>
      </c>
      <c r="W276" s="26"/>
      <c r="X276" s="27" t="s">
        <v>293</v>
      </c>
      <c r="Y276" t="s">
        <v>293</v>
      </c>
      <c r="Z276" t="s">
        <v>299</v>
      </c>
      <c r="AA276" s="15">
        <v>1</v>
      </c>
      <c r="AB276" s="45"/>
      <c r="AC276">
        <f t="shared" si="23"/>
        <v>1</v>
      </c>
      <c r="AD276" t="str">
        <f t="shared" si="22"/>
        <v>Trident:1995-2010</v>
      </c>
      <c r="AE276" t="s">
        <v>202</v>
      </c>
      <c r="AF276" t="s">
        <v>222</v>
      </c>
    </row>
    <row r="277" spans="1:42" x14ac:dyDescent="0.2">
      <c r="A277">
        <v>221250</v>
      </c>
      <c r="B277" t="s">
        <v>33</v>
      </c>
      <c r="C277" s="32"/>
      <c r="D277" s="8" t="s">
        <v>486</v>
      </c>
      <c r="E277" s="8" t="s">
        <v>483</v>
      </c>
      <c r="F277">
        <v>2.5890410958904111</v>
      </c>
      <c r="L277" s="32">
        <v>1</v>
      </c>
      <c r="O277">
        <v>5.3</v>
      </c>
      <c r="Q277" s="34">
        <v>1</v>
      </c>
      <c r="T277" s="26" t="s">
        <v>241</v>
      </c>
      <c r="U277" s="26" t="s">
        <v>254</v>
      </c>
      <c r="V277" s="26" t="s">
        <v>256</v>
      </c>
      <c r="W277" s="27" t="s">
        <v>554</v>
      </c>
      <c r="X277" s="27" t="s">
        <v>293</v>
      </c>
      <c r="Y277" t="s">
        <v>286</v>
      </c>
      <c r="Z277" t="s">
        <v>299</v>
      </c>
      <c r="AA277" s="32"/>
      <c r="AB277">
        <v>5.3</v>
      </c>
      <c r="AC277">
        <f t="shared" si="23"/>
        <v>0</v>
      </c>
      <c r="AD277" t="str">
        <f t="shared" si="22"/>
        <v>Tullu Moje:26 Dec 2007-28 Jul 2010</v>
      </c>
      <c r="AE277" t="s">
        <v>202</v>
      </c>
      <c r="AF277" t="s">
        <v>222</v>
      </c>
    </row>
    <row r="278" spans="1:42" x14ac:dyDescent="0.2">
      <c r="A278">
        <v>221250</v>
      </c>
      <c r="B278" s="29" t="s">
        <v>33</v>
      </c>
      <c r="C278" s="2" t="s">
        <v>34</v>
      </c>
      <c r="D278" s="2"/>
      <c r="E278" s="2"/>
      <c r="F278" s="2" t="s">
        <v>6</v>
      </c>
      <c r="G278" s="2" t="s">
        <v>35</v>
      </c>
      <c r="H278" s="2">
        <v>7.8</v>
      </c>
      <c r="K278" s="18">
        <v>100</v>
      </c>
      <c r="L278" s="2"/>
      <c r="M278" s="2"/>
      <c r="N278" s="2"/>
      <c r="O278" s="2"/>
      <c r="P278" s="2">
        <v>7.8</v>
      </c>
      <c r="Q278" s="23">
        <v>1</v>
      </c>
      <c r="S278" s="16" t="s">
        <v>271</v>
      </c>
      <c r="T278" s="26" t="s">
        <v>241</v>
      </c>
      <c r="U278" s="26" t="s">
        <v>254</v>
      </c>
      <c r="V278" s="26" t="s">
        <v>256</v>
      </c>
      <c r="W278" s="26"/>
      <c r="X278" s="26" t="s">
        <v>563</v>
      </c>
      <c r="Y278" s="26"/>
      <c r="Z278" s="26" t="s">
        <v>563</v>
      </c>
      <c r="AA278" s="2" t="s">
        <v>34</v>
      </c>
      <c r="AB278" s="2"/>
      <c r="AD278" t="str">
        <f t="shared" si="22"/>
        <v>Tullu Moje:-</v>
      </c>
      <c r="AE278" t="s">
        <v>40</v>
      </c>
    </row>
    <row r="279" spans="1:42" x14ac:dyDescent="0.2">
      <c r="A279" s="6">
        <v>352080</v>
      </c>
      <c r="B279" s="31" t="s">
        <v>71</v>
      </c>
      <c r="C279" s="15">
        <v>0.8</v>
      </c>
      <c r="D279" s="8" t="s">
        <v>134</v>
      </c>
      <c r="E279" s="8" t="s">
        <v>179</v>
      </c>
      <c r="F279" s="19">
        <v>6</v>
      </c>
      <c r="I279">
        <v>25</v>
      </c>
      <c r="J279" s="10"/>
      <c r="K279" s="15">
        <v>491</v>
      </c>
      <c r="L279" s="32">
        <v>1</v>
      </c>
      <c r="M279">
        <v>11.5</v>
      </c>
      <c r="N279">
        <v>11.5</v>
      </c>
      <c r="O279" s="42">
        <f>C279*F279</f>
        <v>4.8000000000000007</v>
      </c>
      <c r="Q279" s="22">
        <v>2</v>
      </c>
      <c r="S279" s="16" t="s">
        <v>279</v>
      </c>
      <c r="T279" s="26" t="s">
        <v>234</v>
      </c>
      <c r="U279" s="26" t="s">
        <v>252</v>
      </c>
      <c r="V279" s="26" t="s">
        <v>250</v>
      </c>
      <c r="W279" s="26"/>
      <c r="X279" s="27" t="s">
        <v>293</v>
      </c>
      <c r="Y279" s="8" t="s">
        <v>293</v>
      </c>
      <c r="Z279" s="27" t="s">
        <v>563</v>
      </c>
      <c r="AA279" s="15">
        <v>0.8</v>
      </c>
      <c r="AB279" s="42"/>
      <c r="AC279">
        <f t="shared" ref="AC279:AC294" si="24">ABS(C279)</f>
        <v>0.8</v>
      </c>
      <c r="AD279" t="str">
        <f t="shared" si="22"/>
        <v>Tungurahua:2003-2009</v>
      </c>
      <c r="AE279" t="s">
        <v>202</v>
      </c>
      <c r="AF279" t="s">
        <v>222</v>
      </c>
    </row>
    <row r="280" spans="1:42" x14ac:dyDescent="0.2">
      <c r="A280">
        <v>352080</v>
      </c>
      <c r="B280" t="s">
        <v>71</v>
      </c>
      <c r="C280" s="32"/>
      <c r="D280" s="8" t="s">
        <v>468</v>
      </c>
      <c r="E280" s="8" t="s">
        <v>469</v>
      </c>
      <c r="F280">
        <v>0.24931506849315069</v>
      </c>
      <c r="I280" s="12">
        <v>4</v>
      </c>
      <c r="J280">
        <v>1.5</v>
      </c>
      <c r="K280">
        <v>5</v>
      </c>
      <c r="L280" s="32">
        <f>4/1.5</f>
        <v>2.6666666666666665</v>
      </c>
      <c r="M280">
        <v>2</v>
      </c>
      <c r="N280">
        <v>2</v>
      </c>
      <c r="O280">
        <v>17.5</v>
      </c>
      <c r="Q280" s="34">
        <v>2</v>
      </c>
      <c r="T280" s="26" t="s">
        <v>234</v>
      </c>
      <c r="U280" s="26" t="s">
        <v>252</v>
      </c>
      <c r="V280" s="26" t="s">
        <v>250</v>
      </c>
      <c r="W280" s="27" t="s">
        <v>554</v>
      </c>
      <c r="X280" s="27" t="s">
        <v>293</v>
      </c>
      <c r="Y280" t="s">
        <v>293</v>
      </c>
      <c r="Z280" t="s">
        <v>297</v>
      </c>
      <c r="AA280" s="32"/>
      <c r="AB280">
        <v>17.5</v>
      </c>
      <c r="AC280">
        <f t="shared" si="24"/>
        <v>0</v>
      </c>
      <c r="AD280" t="str">
        <f t="shared" si="22"/>
        <v>Tungurahua:27 Dec 2007-27 Mar 2008</v>
      </c>
      <c r="AE280" t="s">
        <v>202</v>
      </c>
      <c r="AF280" t="s">
        <v>222</v>
      </c>
    </row>
    <row r="281" spans="1:42" x14ac:dyDescent="0.2">
      <c r="A281">
        <v>312130</v>
      </c>
      <c r="B281" t="s">
        <v>353</v>
      </c>
      <c r="C281" s="32"/>
      <c r="D281" s="8" t="s">
        <v>537</v>
      </c>
      <c r="E281" s="8" t="s">
        <v>399</v>
      </c>
      <c r="F281">
        <v>2</v>
      </c>
      <c r="I281">
        <v>30</v>
      </c>
      <c r="K281">
        <v>707</v>
      </c>
      <c r="L281" s="32">
        <v>1</v>
      </c>
      <c r="M281">
        <v>7</v>
      </c>
      <c r="N281">
        <v>7</v>
      </c>
      <c r="O281">
        <v>20</v>
      </c>
      <c r="Q281" s="34">
        <v>1</v>
      </c>
      <c r="T281" s="16" t="s">
        <v>234</v>
      </c>
      <c r="U281" s="16" t="s">
        <v>252</v>
      </c>
      <c r="V281" s="16" t="s">
        <v>250</v>
      </c>
      <c r="W281" s="27" t="s">
        <v>554</v>
      </c>
      <c r="X281" s="27" t="s">
        <v>293</v>
      </c>
      <c r="Y281" t="s">
        <v>293</v>
      </c>
      <c r="Z281" t="s">
        <v>299</v>
      </c>
      <c r="AA281" s="32"/>
      <c r="AB281">
        <v>20</v>
      </c>
      <c r="AC281">
        <f t="shared" si="24"/>
        <v>0</v>
      </c>
      <c r="AD281" t="str">
        <f t="shared" si="22"/>
        <v>Ugashik-Peulik:1996-1998</v>
      </c>
      <c r="AE281" t="s">
        <v>202</v>
      </c>
      <c r="AF281" t="s">
        <v>222</v>
      </c>
    </row>
    <row r="282" spans="1:42" x14ac:dyDescent="0.2">
      <c r="A282">
        <v>282100</v>
      </c>
      <c r="B282" t="s">
        <v>338</v>
      </c>
      <c r="C282" s="32"/>
      <c r="D282" s="8" t="s">
        <v>470</v>
      </c>
      <c r="E282" s="8" t="s">
        <v>471</v>
      </c>
      <c r="F282">
        <v>0.36164383561643837</v>
      </c>
      <c r="O282">
        <v>12</v>
      </c>
      <c r="Q282" s="34">
        <v>2</v>
      </c>
      <c r="T282" s="16" t="s">
        <v>235</v>
      </c>
      <c r="U282" s="16" t="s">
        <v>252</v>
      </c>
      <c r="V282" s="16" t="s">
        <v>250</v>
      </c>
      <c r="W282" s="27" t="s">
        <v>554</v>
      </c>
      <c r="X282" s="27" t="s">
        <v>294</v>
      </c>
      <c r="Y282" t="s">
        <v>287</v>
      </c>
      <c r="Z282" t="s">
        <v>300</v>
      </c>
      <c r="AA282" s="15">
        <f>-1*C282</f>
        <v>0</v>
      </c>
      <c r="AB282" s="42"/>
      <c r="AC282">
        <f t="shared" si="24"/>
        <v>0</v>
      </c>
      <c r="AD282" t="str">
        <f t="shared" si="22"/>
        <v>Unzendake:22 Jul 1993-1 Dec 1993</v>
      </c>
      <c r="AE282" t="s">
        <v>202</v>
      </c>
      <c r="AF282" t="s">
        <v>222</v>
      </c>
    </row>
    <row r="283" spans="1:42" x14ac:dyDescent="0.2">
      <c r="A283">
        <v>355838</v>
      </c>
      <c r="B283" s="8" t="s">
        <v>120</v>
      </c>
      <c r="C283" s="15">
        <v>1</v>
      </c>
      <c r="D283" s="8" t="s">
        <v>136</v>
      </c>
      <c r="E283" s="8" t="s">
        <v>163</v>
      </c>
      <c r="F283" s="19">
        <v>19</v>
      </c>
      <c r="I283">
        <v>70</v>
      </c>
      <c r="J283" s="10"/>
      <c r="K283" s="15">
        <v>3848</v>
      </c>
      <c r="L283" s="32">
        <v>1</v>
      </c>
      <c r="M283">
        <v>15</v>
      </c>
      <c r="N283">
        <v>17</v>
      </c>
      <c r="O283" s="42">
        <f>C283*F283</f>
        <v>19</v>
      </c>
      <c r="Q283" s="22">
        <v>1</v>
      </c>
      <c r="S283" s="16" t="s">
        <v>279</v>
      </c>
      <c r="T283" s="26" t="s">
        <v>234</v>
      </c>
      <c r="U283" s="26" t="s">
        <v>252</v>
      </c>
      <c r="V283" s="26" t="s">
        <v>269</v>
      </c>
      <c r="W283" s="26"/>
      <c r="X283" s="27" t="s">
        <v>293</v>
      </c>
      <c r="Y283" t="s">
        <v>286</v>
      </c>
      <c r="Z283" t="s">
        <v>299</v>
      </c>
      <c r="AA283" s="15">
        <v>1</v>
      </c>
      <c r="AB283" s="42"/>
      <c r="AC283">
        <f t="shared" si="24"/>
        <v>1</v>
      </c>
      <c r="AD283" t="str">
        <f t="shared" si="22"/>
        <v>Uturuncu:1992-2011</v>
      </c>
      <c r="AE283" t="s">
        <v>202</v>
      </c>
      <c r="AF283" t="s">
        <v>222</v>
      </c>
    </row>
    <row r="284" spans="1:42" s="43" customFormat="1" x14ac:dyDescent="0.2">
      <c r="A284">
        <v>300170</v>
      </c>
      <c r="B284" t="s">
        <v>209</v>
      </c>
      <c r="C284" s="32"/>
      <c r="D284" s="9" t="s">
        <v>158</v>
      </c>
      <c r="E284" s="9" t="s">
        <v>194</v>
      </c>
      <c r="F284">
        <v>2.9589041095890409</v>
      </c>
      <c r="G284"/>
      <c r="H284"/>
      <c r="I284">
        <v>15</v>
      </c>
      <c r="J284"/>
      <c r="K284">
        <v>177</v>
      </c>
      <c r="L284" s="32">
        <v>1</v>
      </c>
      <c r="M284">
        <v>4</v>
      </c>
      <c r="N284">
        <v>8</v>
      </c>
      <c r="O284">
        <v>15</v>
      </c>
      <c r="P284"/>
      <c r="Q284" s="34">
        <v>1</v>
      </c>
      <c r="R284"/>
      <c r="S284"/>
      <c r="T284" s="16" t="s">
        <v>574</v>
      </c>
      <c r="U284" s="16" t="s">
        <v>252</v>
      </c>
      <c r="V284" s="16" t="s">
        <v>250</v>
      </c>
      <c r="W284" s="27" t="s">
        <v>554</v>
      </c>
      <c r="X284" s="27" t="s">
        <v>293</v>
      </c>
      <c r="Y284" t="s">
        <v>286</v>
      </c>
      <c r="Z284"/>
      <c r="AA284" s="32"/>
      <c r="AB284">
        <v>15</v>
      </c>
      <c r="AC284">
        <f t="shared" si="24"/>
        <v>0</v>
      </c>
      <c r="AD284" t="str">
        <f t="shared" si="22"/>
        <v>Uzon:2 Sep 2000-18 Aug 2003</v>
      </c>
      <c r="AE284" t="s">
        <v>202</v>
      </c>
      <c r="AF284" t="s">
        <v>222</v>
      </c>
      <c r="AG284"/>
      <c r="AH284"/>
      <c r="AI284"/>
      <c r="AJ284"/>
      <c r="AK284"/>
      <c r="AL284"/>
      <c r="AM284"/>
      <c r="AN284"/>
      <c r="AO284"/>
      <c r="AP284"/>
    </row>
    <row r="285" spans="1:42" s="43" customFormat="1" x14ac:dyDescent="0.2">
      <c r="A285">
        <v>312070</v>
      </c>
      <c r="B285" s="8" t="s">
        <v>121</v>
      </c>
      <c r="C285" s="15">
        <v>0.5</v>
      </c>
      <c r="D285" s="8" t="s">
        <v>136</v>
      </c>
      <c r="E285" s="8" t="s">
        <v>182</v>
      </c>
      <c r="F285" s="19">
        <v>18</v>
      </c>
      <c r="G285"/>
      <c r="H285"/>
      <c r="I285">
        <v>35</v>
      </c>
      <c r="J285" s="10"/>
      <c r="K285" s="15">
        <v>962</v>
      </c>
      <c r="L285" s="32">
        <v>1</v>
      </c>
      <c r="M285">
        <v>8</v>
      </c>
      <c r="N285">
        <v>8</v>
      </c>
      <c r="O285" s="42">
        <f>C285*F285</f>
        <v>9</v>
      </c>
      <c r="P285"/>
      <c r="Q285" s="22">
        <v>1</v>
      </c>
      <c r="R285"/>
      <c r="S285" s="16" t="s">
        <v>248</v>
      </c>
      <c r="T285" s="26" t="s">
        <v>234</v>
      </c>
      <c r="U285" s="26" t="s">
        <v>252</v>
      </c>
      <c r="V285" s="26" t="s">
        <v>250</v>
      </c>
      <c r="W285" s="26"/>
      <c r="X285" s="27" t="s">
        <v>293</v>
      </c>
      <c r="Y285" t="s">
        <v>293</v>
      </c>
      <c r="Z285" t="s">
        <v>299</v>
      </c>
      <c r="AA285" s="15">
        <v>0.5</v>
      </c>
      <c r="AB285" s="42"/>
      <c r="AC285">
        <f t="shared" si="24"/>
        <v>0.5</v>
      </c>
      <c r="AD285" t="str">
        <f t="shared" si="22"/>
        <v>Veniaminof:1992-2010</v>
      </c>
      <c r="AE285" t="s">
        <v>202</v>
      </c>
      <c r="AF285" t="s">
        <v>222</v>
      </c>
      <c r="AG285"/>
      <c r="AH285"/>
      <c r="AI285"/>
      <c r="AJ285"/>
      <c r="AK285"/>
      <c r="AL285"/>
      <c r="AM285"/>
      <c r="AN285"/>
      <c r="AO285"/>
      <c r="AP285"/>
    </row>
    <row r="286" spans="1:42" s="43" customFormat="1" x14ac:dyDescent="0.2">
      <c r="A286">
        <v>211020</v>
      </c>
      <c r="B286" s="8" t="s">
        <v>122</v>
      </c>
      <c r="C286" s="15">
        <v>2</v>
      </c>
      <c r="D286" s="8" t="s">
        <v>136</v>
      </c>
      <c r="E286" s="8" t="s">
        <v>154</v>
      </c>
      <c r="F286" s="19">
        <v>21</v>
      </c>
      <c r="G286"/>
      <c r="H286"/>
      <c r="I286"/>
      <c r="J286"/>
      <c r="K286"/>
      <c r="L286"/>
      <c r="M286"/>
      <c r="N286"/>
      <c r="O286" s="45">
        <f>C286*F286</f>
        <v>42</v>
      </c>
      <c r="P286"/>
      <c r="Q286" s="22">
        <v>1</v>
      </c>
      <c r="R286"/>
      <c r="S286" s="16" t="s">
        <v>270</v>
      </c>
      <c r="T286" s="8" t="s">
        <v>234</v>
      </c>
      <c r="U286" s="26" t="s">
        <v>252</v>
      </c>
      <c r="V286" s="26" t="s">
        <v>264</v>
      </c>
      <c r="W286" s="26"/>
      <c r="X286" s="27" t="s">
        <v>294</v>
      </c>
      <c r="Y286" t="s">
        <v>287</v>
      </c>
      <c r="Z286"/>
      <c r="AA286" s="15">
        <f>-1*C286</f>
        <v>-2</v>
      </c>
      <c r="AB286" s="42"/>
      <c r="AC286">
        <f t="shared" si="24"/>
        <v>2</v>
      </c>
      <c r="AD286" t="str">
        <f t="shared" si="22"/>
        <v>Vesuvius:1992-2013</v>
      </c>
      <c r="AE286" t="s">
        <v>232</v>
      </c>
      <c r="AF286" t="s">
        <v>222</v>
      </c>
      <c r="AG286"/>
      <c r="AH286"/>
      <c r="AI286"/>
      <c r="AJ286"/>
      <c r="AK286"/>
      <c r="AL286"/>
      <c r="AM286"/>
      <c r="AN286"/>
      <c r="AO286"/>
      <c r="AP286"/>
    </row>
    <row r="287" spans="1:42" x14ac:dyDescent="0.2">
      <c r="A287">
        <v>311340</v>
      </c>
      <c r="B287" t="s">
        <v>212</v>
      </c>
      <c r="C287" s="32"/>
      <c r="D287" s="8" t="s">
        <v>472</v>
      </c>
      <c r="E287" s="8" t="s">
        <v>473</v>
      </c>
      <c r="F287">
        <v>2.4657534246575342E-2</v>
      </c>
      <c r="I287">
        <v>24</v>
      </c>
      <c r="K287">
        <v>452</v>
      </c>
      <c r="L287" s="32">
        <v>1</v>
      </c>
      <c r="M287">
        <v>4</v>
      </c>
      <c r="N287">
        <v>8</v>
      </c>
      <c r="O287">
        <v>6</v>
      </c>
      <c r="Q287" s="34">
        <v>2</v>
      </c>
      <c r="T287" s="16" t="s">
        <v>234</v>
      </c>
      <c r="U287" s="16" t="s">
        <v>252</v>
      </c>
      <c r="V287" s="16" t="s">
        <v>251</v>
      </c>
      <c r="W287" s="27" t="s">
        <v>554</v>
      </c>
      <c r="X287" s="27" t="s">
        <v>294</v>
      </c>
      <c r="Y287" t="s">
        <v>290</v>
      </c>
      <c r="Z287" t="s">
        <v>297</v>
      </c>
      <c r="AA287" s="15">
        <f>-1*C287</f>
        <v>0</v>
      </c>
      <c r="AB287" s="42"/>
      <c r="AC287">
        <f t="shared" si="24"/>
        <v>0</v>
      </c>
      <c r="AD287" t="str">
        <f t="shared" si="22"/>
        <v>Westdahl:21 Nov 1991-30 Nov 1991</v>
      </c>
      <c r="AE287" t="s">
        <v>202</v>
      </c>
      <c r="AF287" t="s">
        <v>222</v>
      </c>
    </row>
    <row r="288" spans="1:42" s="43" customFormat="1" x14ac:dyDescent="0.2">
      <c r="A288">
        <v>353020</v>
      </c>
      <c r="B288" t="s">
        <v>219</v>
      </c>
      <c r="C288" s="32"/>
      <c r="D288" s="8" t="s">
        <v>136</v>
      </c>
      <c r="E288" s="8" t="s">
        <v>131</v>
      </c>
      <c r="F288">
        <v>5</v>
      </c>
      <c r="G288"/>
      <c r="H288"/>
      <c r="I288">
        <v>8</v>
      </c>
      <c r="J288"/>
      <c r="K288">
        <v>50</v>
      </c>
      <c r="L288" s="32">
        <v>1</v>
      </c>
      <c r="M288">
        <v>2</v>
      </c>
      <c r="N288">
        <v>3</v>
      </c>
      <c r="O288">
        <v>8</v>
      </c>
      <c r="P288"/>
      <c r="Q288" s="34">
        <v>1</v>
      </c>
      <c r="R288"/>
      <c r="S288"/>
      <c r="T288" s="16" t="s">
        <v>238</v>
      </c>
      <c r="U288" s="16" t="s">
        <v>258</v>
      </c>
      <c r="V288" s="16" t="s">
        <v>251</v>
      </c>
      <c r="W288" s="27" t="s">
        <v>554</v>
      </c>
      <c r="X288" s="27" t="s">
        <v>293</v>
      </c>
      <c r="Y288" t="s">
        <v>293</v>
      </c>
      <c r="Z288" t="s">
        <v>299</v>
      </c>
      <c r="AA288" s="32"/>
      <c r="AB288">
        <v>8</v>
      </c>
      <c r="AC288">
        <f t="shared" si="24"/>
        <v>0</v>
      </c>
      <c r="AD288" t="str">
        <f t="shared" si="22"/>
        <v>Wolf:1992-1997</v>
      </c>
      <c r="AE288" t="s">
        <v>202</v>
      </c>
      <c r="AF288" t="s">
        <v>222</v>
      </c>
      <c r="AG288"/>
      <c r="AH288"/>
      <c r="AI288"/>
      <c r="AJ288"/>
      <c r="AK288"/>
      <c r="AL288"/>
      <c r="AM288"/>
      <c r="AN288"/>
      <c r="AO288"/>
      <c r="AP288"/>
    </row>
    <row r="289" spans="1:32" x14ac:dyDescent="0.2">
      <c r="A289">
        <v>325010</v>
      </c>
      <c r="B289" t="s">
        <v>123</v>
      </c>
      <c r="C289" s="32"/>
      <c r="D289" s="8">
        <v>2000</v>
      </c>
      <c r="E289" s="8">
        <v>2004</v>
      </c>
      <c r="F289">
        <v>4</v>
      </c>
      <c r="I289">
        <v>40</v>
      </c>
      <c r="J289">
        <v>20</v>
      </c>
      <c r="K289">
        <v>628</v>
      </c>
      <c r="L289" s="32">
        <f>40/20</f>
        <v>2</v>
      </c>
      <c r="M289" t="s">
        <v>550</v>
      </c>
      <c r="N289" t="s">
        <v>550</v>
      </c>
      <c r="O289">
        <v>2.8</v>
      </c>
      <c r="Q289" s="34">
        <v>1</v>
      </c>
      <c r="T289" s="26" t="s">
        <v>233</v>
      </c>
      <c r="U289" s="26" t="s">
        <v>254</v>
      </c>
      <c r="V289" s="26" t="s">
        <v>256</v>
      </c>
      <c r="W289" s="27" t="s">
        <v>554</v>
      </c>
      <c r="X289" s="27" t="s">
        <v>561</v>
      </c>
      <c r="Y289" t="s">
        <v>288</v>
      </c>
      <c r="Z289" t="s">
        <v>304</v>
      </c>
      <c r="AA289" s="15">
        <f>-1*C289</f>
        <v>0</v>
      </c>
      <c r="AB289" s="42"/>
      <c r="AC289">
        <f t="shared" si="24"/>
        <v>0</v>
      </c>
      <c r="AD289" t="str">
        <f t="shared" si="22"/>
        <v>Yellowstone:2000-2004</v>
      </c>
      <c r="AE289" t="s">
        <v>202</v>
      </c>
      <c r="AF289" t="s">
        <v>222</v>
      </c>
    </row>
    <row r="290" spans="1:32" x14ac:dyDescent="0.2">
      <c r="A290">
        <v>325010</v>
      </c>
      <c r="B290" t="s">
        <v>123</v>
      </c>
      <c r="C290" s="32"/>
      <c r="D290" s="8">
        <v>1996</v>
      </c>
      <c r="E290" s="8">
        <v>2000</v>
      </c>
      <c r="F290">
        <v>4</v>
      </c>
      <c r="I290">
        <v>25</v>
      </c>
      <c r="K290">
        <v>491</v>
      </c>
      <c r="L290" s="32">
        <v>1</v>
      </c>
      <c r="M290" t="s">
        <v>550</v>
      </c>
      <c r="N290" t="s">
        <v>550</v>
      </c>
      <c r="O290">
        <v>6.8</v>
      </c>
      <c r="Q290" s="34">
        <v>1</v>
      </c>
      <c r="T290" s="26" t="s">
        <v>233</v>
      </c>
      <c r="U290" s="26" t="s">
        <v>254</v>
      </c>
      <c r="V290" s="26" t="s">
        <v>256</v>
      </c>
      <c r="W290" s="27" t="s">
        <v>554</v>
      </c>
      <c r="X290" s="27" t="s">
        <v>293</v>
      </c>
      <c r="Y290" t="s">
        <v>293</v>
      </c>
      <c r="Z290" t="s">
        <v>304</v>
      </c>
      <c r="AA290" s="32"/>
      <c r="AB290">
        <v>6.8</v>
      </c>
      <c r="AC290">
        <f t="shared" si="24"/>
        <v>0</v>
      </c>
      <c r="AD290" t="str">
        <f t="shared" si="22"/>
        <v>Yellowstone:1996-2000</v>
      </c>
      <c r="AE290" t="s">
        <v>202</v>
      </c>
      <c r="AF290" t="s">
        <v>222</v>
      </c>
    </row>
    <row r="291" spans="1:32" x14ac:dyDescent="0.2">
      <c r="A291">
        <v>325010</v>
      </c>
      <c r="B291" t="s">
        <v>123</v>
      </c>
      <c r="C291" s="32"/>
      <c r="D291" s="8">
        <v>1992</v>
      </c>
      <c r="E291" s="8">
        <v>1995</v>
      </c>
      <c r="F291">
        <v>3</v>
      </c>
      <c r="I291">
        <v>40</v>
      </c>
      <c r="J291">
        <v>20</v>
      </c>
      <c r="K291">
        <v>628</v>
      </c>
      <c r="L291" s="32">
        <f>40/20</f>
        <v>2</v>
      </c>
      <c r="M291" t="s">
        <v>550</v>
      </c>
      <c r="N291" t="s">
        <v>550</v>
      </c>
      <c r="O291">
        <v>8</v>
      </c>
      <c r="Q291" s="34">
        <v>1</v>
      </c>
      <c r="T291" s="26" t="s">
        <v>233</v>
      </c>
      <c r="U291" s="26" t="s">
        <v>254</v>
      </c>
      <c r="V291" s="26" t="s">
        <v>256</v>
      </c>
      <c r="W291" s="27" t="s">
        <v>554</v>
      </c>
      <c r="X291" s="27" t="s">
        <v>294</v>
      </c>
      <c r="Y291" t="s">
        <v>290</v>
      </c>
      <c r="Z291" t="s">
        <v>304</v>
      </c>
      <c r="AA291" s="15">
        <f>-1*C291</f>
        <v>0</v>
      </c>
      <c r="AB291" s="42"/>
      <c r="AC291">
        <f t="shared" si="24"/>
        <v>0</v>
      </c>
      <c r="AD291" t="str">
        <f t="shared" si="22"/>
        <v>Yellowstone:1992-1995</v>
      </c>
      <c r="AE291" t="s">
        <v>202</v>
      </c>
      <c r="AF291" t="s">
        <v>222</v>
      </c>
    </row>
    <row r="292" spans="1:32" x14ac:dyDescent="0.2">
      <c r="A292">
        <v>325010</v>
      </c>
      <c r="B292" s="8" t="s">
        <v>123</v>
      </c>
      <c r="C292" s="15">
        <v>4</v>
      </c>
      <c r="D292" s="8">
        <v>2004</v>
      </c>
      <c r="E292" s="8">
        <v>2006</v>
      </c>
      <c r="F292" s="19">
        <v>2</v>
      </c>
      <c r="O292" s="45">
        <f>C292*F292</f>
        <v>8</v>
      </c>
      <c r="Q292" s="22">
        <v>1</v>
      </c>
      <c r="S292" s="16" t="s">
        <v>277</v>
      </c>
      <c r="T292" s="26" t="s">
        <v>233</v>
      </c>
      <c r="U292" s="26" t="s">
        <v>254</v>
      </c>
      <c r="V292" s="26" t="s">
        <v>256</v>
      </c>
      <c r="W292" s="26"/>
      <c r="X292" s="27" t="s">
        <v>294</v>
      </c>
      <c r="Y292" t="s">
        <v>290</v>
      </c>
      <c r="Z292" t="s">
        <v>304</v>
      </c>
      <c r="AA292" s="15">
        <f>-1*C292</f>
        <v>-4</v>
      </c>
      <c r="AB292" s="42"/>
      <c r="AC292">
        <f t="shared" si="24"/>
        <v>4</v>
      </c>
      <c r="AD292" t="str">
        <f t="shared" si="22"/>
        <v>Yellowstone:2004-2006</v>
      </c>
      <c r="AE292" t="s">
        <v>202</v>
      </c>
      <c r="AF292" t="s">
        <v>222</v>
      </c>
    </row>
    <row r="293" spans="1:32" x14ac:dyDescent="0.2">
      <c r="A293">
        <v>325010</v>
      </c>
      <c r="B293" s="8" t="s">
        <v>123</v>
      </c>
      <c r="C293" s="15">
        <v>7</v>
      </c>
      <c r="D293" s="8">
        <v>2004</v>
      </c>
      <c r="E293" s="8">
        <v>2009</v>
      </c>
      <c r="F293" s="19">
        <v>5</v>
      </c>
      <c r="O293" s="45">
        <f>C293*F293</f>
        <v>35</v>
      </c>
      <c r="Q293" s="22">
        <v>1</v>
      </c>
      <c r="S293" s="16" t="s">
        <v>277</v>
      </c>
      <c r="T293" s="26" t="s">
        <v>233</v>
      </c>
      <c r="U293" s="26" t="s">
        <v>254</v>
      </c>
      <c r="V293" s="26" t="s">
        <v>256</v>
      </c>
      <c r="W293" s="26"/>
      <c r="X293" s="27" t="s">
        <v>293</v>
      </c>
      <c r="Y293" t="s">
        <v>293</v>
      </c>
      <c r="Z293" t="s">
        <v>304</v>
      </c>
      <c r="AA293" s="15">
        <v>7</v>
      </c>
      <c r="AB293" s="45"/>
      <c r="AC293">
        <f t="shared" si="24"/>
        <v>7</v>
      </c>
      <c r="AD293" t="str">
        <f t="shared" si="22"/>
        <v>Yellowstone:2004-2009</v>
      </c>
      <c r="AE293" t="s">
        <v>202</v>
      </c>
      <c r="AF293" t="s">
        <v>222</v>
      </c>
    </row>
    <row r="294" spans="1:32" x14ac:dyDescent="0.2">
      <c r="A294">
        <v>311210</v>
      </c>
      <c r="B294" s="8" t="s">
        <v>72</v>
      </c>
      <c r="C294" s="15">
        <v>0.3</v>
      </c>
      <c r="D294" s="8" t="s">
        <v>135</v>
      </c>
      <c r="E294" s="8" t="s">
        <v>179</v>
      </c>
      <c r="F294" s="19">
        <v>5</v>
      </c>
      <c r="J294" s="10"/>
      <c r="O294" s="45">
        <f>C294*F294</f>
        <v>1.5</v>
      </c>
      <c r="Q294" s="22">
        <v>2</v>
      </c>
      <c r="S294" s="16" t="s">
        <v>248</v>
      </c>
      <c r="T294" s="26" t="s">
        <v>238</v>
      </c>
      <c r="U294" s="26" t="s">
        <v>249</v>
      </c>
      <c r="V294" s="26" t="s">
        <v>250</v>
      </c>
      <c r="W294" s="26"/>
      <c r="X294" s="27" t="s">
        <v>294</v>
      </c>
      <c r="Y294" t="s">
        <v>290</v>
      </c>
      <c r="Z294" t="s">
        <v>300</v>
      </c>
      <c r="AA294" s="15">
        <f>-1*C294</f>
        <v>-0.3</v>
      </c>
      <c r="AB294" s="42"/>
      <c r="AC294">
        <f t="shared" si="24"/>
        <v>0.3</v>
      </c>
      <c r="AD294" t="str">
        <f t="shared" si="22"/>
        <v>Yunaska:2004-2009</v>
      </c>
      <c r="AE294" t="s">
        <v>202</v>
      </c>
      <c r="AF294" t="s">
        <v>222</v>
      </c>
    </row>
  </sheetData>
  <autoFilter ref="A1:AF294" xr:uid="{016CF36B-725B-554B-A302-622B132CCEB3}"/>
  <sortState xmlns:xlrd2="http://schemas.microsoft.com/office/spreadsheetml/2017/richdata2" ref="A2:AF295">
    <sortCondition ref="B1:B295"/>
  </sortState>
  <phoneticPr fontId="6" type="noConversion"/>
  <hyperlinks>
    <hyperlink ref="B80" r:id="rId1" location="ggge22419-note-0001_328" tooltip="Link to note" display="https://agupubs.onlinelibrary.wiley.com/doi/full/10.1029/2020GC009488 - ggge22419-note-0001_328" xr:uid="{248E7C3E-FE9C-5F48-A19D-544BB42F670A}"/>
    <hyperlink ref="B81" r:id="rId2" location="ggge22419-note-0002_329" tooltip="Link to note" display="https://agupubs.onlinelibrary.wiley.com/doi/full/10.1029/2020GC009488 - ggge22419-note-0002_329" xr:uid="{99FE5564-DD78-E04C-8787-8B028D3042C0}"/>
    <hyperlink ref="B79" r:id="rId3" location="ggge22419-note-0003_330" tooltip="Link to note" display="https://agupubs.onlinelibrary.wiley.com/doi/full/10.1029/2020GC009488 - ggge22419-note-0003_330" xr:uid="{AB097337-6F19-8745-A6CF-D4102B343C70}"/>
    <hyperlink ref="B82" r:id="rId4" location="ggge22419-note-0004_331" tooltip="Link to note" display="https://agupubs.onlinelibrary.wiley.com/doi/full/10.1029/2020GC009488 - ggge22419-note-0004_331" xr:uid="{90118930-EEB1-B741-ADBA-7859153C50D6}"/>
    <hyperlink ref="B184" r:id="rId5" location="ggge22419-note-0005_332" tooltip="Link to note" display="https://agupubs.onlinelibrary.wiley.com/doi/full/10.1029/2020GC009488 - ggge22419-note-0005_332" xr:uid="{30C46AB3-6233-3946-9517-213D9ED2D44B}"/>
    <hyperlink ref="B183" r:id="rId6" location="ggge22419-note-0006_333" tooltip="Link to note" display="https://agupubs.onlinelibrary.wiley.com/doi/full/10.1029/2020GC009488 - ggge22419-note-0006_333" xr:uid="{20DC87DF-9029-8E4D-B39B-26AAE498F8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1933-FA24-3F45-B06A-9D299FCD97C0}">
  <dimension ref="A1:F294"/>
  <sheetViews>
    <sheetView workbookViewId="0">
      <selection activeCell="F2" sqref="F2"/>
    </sheetView>
  </sheetViews>
  <sheetFormatPr baseColWidth="10" defaultRowHeight="16" x14ac:dyDescent="0.2"/>
  <cols>
    <col min="2" max="2" width="24.83203125" customWidth="1"/>
    <col min="3" max="3" width="23.6640625" customWidth="1"/>
  </cols>
  <sheetData>
    <row r="1" spans="1:6" x14ac:dyDescent="0.2">
      <c r="A1" t="s">
        <v>674</v>
      </c>
      <c r="B1" t="s">
        <v>675</v>
      </c>
      <c r="C1" t="s">
        <v>676</v>
      </c>
    </row>
    <row r="2" spans="1:6" x14ac:dyDescent="0.2">
      <c r="A2">
        <v>355090</v>
      </c>
      <c r="B2" s="48" t="s">
        <v>106</v>
      </c>
      <c r="C2" s="49" t="b" cm="1">
        <f t="array" ref="C2">SUM(--ISNUMBER(SEARCH($D$2:$D$294,A2)))&gt;0</f>
        <v>1</v>
      </c>
      <c r="D2">
        <v>353040</v>
      </c>
      <c r="F2" t="str">
        <f>"('" &amp; _xlfn.TEXTJOIN("', '", TRUE, C2:C14) &amp; "')"</f>
        <v>('TRUE', 'TRUE', 'TRUE', 'TRUE', 'TRUE', 'TRUE', 'TRUE', 'TRUE', 'TRUE', 'TRUE', 'TRUE', 'TRUE', 'TRUE')</v>
      </c>
    </row>
    <row r="3" spans="1:6" x14ac:dyDescent="0.2">
      <c r="A3">
        <v>355100</v>
      </c>
      <c r="B3" s="48" t="s">
        <v>590</v>
      </c>
      <c r="C3" s="49" t="b" cm="1">
        <f t="array" ref="C3">SUM(--ISNUMBER(SEARCH($D$2:$D$294,A3)))&gt;0</f>
        <v>1</v>
      </c>
      <c r="D3">
        <v>221270</v>
      </c>
    </row>
    <row r="4" spans="1:6" x14ac:dyDescent="0.2">
      <c r="A4">
        <v>355101</v>
      </c>
      <c r="B4" s="48" t="s">
        <v>591</v>
      </c>
      <c r="C4" s="49" t="b" cm="1">
        <f t="array" ref="C4">SUM(--ISNUMBER(SEARCH($D$2:$D$294,A4)))&gt;0</f>
        <v>1</v>
      </c>
      <c r="D4">
        <v>257040</v>
      </c>
    </row>
    <row r="5" spans="1:6" x14ac:dyDescent="0.2">
      <c r="A5">
        <v>355120</v>
      </c>
      <c r="B5" s="48" t="s">
        <v>94</v>
      </c>
      <c r="C5" s="49" t="b" cm="1">
        <f t="array" ref="C5">SUM(--ISNUMBER(SEARCH($D$2:$D$294,A5)))&gt;0</f>
        <v>1</v>
      </c>
      <c r="D5">
        <v>373060</v>
      </c>
    </row>
    <row r="6" spans="1:6" x14ac:dyDescent="0.2">
      <c r="A6">
        <v>355121</v>
      </c>
      <c r="B6" s="48" t="s">
        <v>601</v>
      </c>
      <c r="C6" s="49" t="b" cm="1">
        <f t="array" ref="C6">SUM(--ISNUMBER(SEARCH($D$2:$D$294,A6)))&gt;0</f>
        <v>1</v>
      </c>
      <c r="D6">
        <v>373060</v>
      </c>
    </row>
    <row r="7" spans="1:6" x14ac:dyDescent="0.2">
      <c r="A7">
        <v>355210</v>
      </c>
      <c r="B7" s="48" t="s">
        <v>614</v>
      </c>
      <c r="C7" s="49" t="b" cm="1">
        <f t="array" ref="C7">SUM(--ISNUMBER(SEARCH($D$2:$D$294,A7)))&gt;0</f>
        <v>1</v>
      </c>
      <c r="D7">
        <v>313010</v>
      </c>
    </row>
    <row r="8" spans="1:6" x14ac:dyDescent="0.2">
      <c r="A8">
        <v>357061</v>
      </c>
      <c r="B8" s="48" t="s">
        <v>99</v>
      </c>
      <c r="C8" s="49" t="b" cm="1">
        <f t="array" ref="C8">SUM(--ISNUMBER(SEARCH($D$2:$D$294,A8)))&gt;0</f>
        <v>1</v>
      </c>
      <c r="D8">
        <v>341040</v>
      </c>
    </row>
    <row r="9" spans="1:6" x14ac:dyDescent="0.2">
      <c r="A9">
        <v>357090</v>
      </c>
      <c r="B9" s="48" t="s">
        <v>48</v>
      </c>
      <c r="C9" s="49" t="b" cm="1">
        <f t="array" ref="C9">SUM(--ISNUMBER(SEARCH($D$2:$D$294,A9)))&gt;0</f>
        <v>1</v>
      </c>
      <c r="D9">
        <v>355121</v>
      </c>
    </row>
    <row r="10" spans="1:6" x14ac:dyDescent="0.2">
      <c r="A10">
        <v>357100</v>
      </c>
      <c r="B10" s="48" t="s">
        <v>56</v>
      </c>
      <c r="C10" s="49" t="b" cm="1">
        <f t="array" ref="C10">SUM(--ISNUMBER(SEARCH($D$2:$D$294,A10)))&gt;0</f>
        <v>1</v>
      </c>
      <c r="D10">
        <v>221113</v>
      </c>
    </row>
    <row r="11" spans="1:6" x14ac:dyDescent="0.2">
      <c r="A11">
        <v>357110</v>
      </c>
      <c r="B11" s="48" t="s">
        <v>221</v>
      </c>
      <c r="C11" s="49" t="b" cm="1">
        <f t="array" ref="C11">SUM(--ISNUMBER(SEARCH($D$2:$D$294,A11)))&gt;0</f>
        <v>1</v>
      </c>
      <c r="D11">
        <v>221070</v>
      </c>
    </row>
    <row r="12" spans="1:6" x14ac:dyDescent="0.2">
      <c r="A12">
        <v>357150</v>
      </c>
      <c r="B12" s="48" t="s">
        <v>646</v>
      </c>
      <c r="C12" s="49" t="b" cm="1">
        <f t="array" ref="C12">SUM(--ISNUMBER(SEARCH($D$2:$D$294,A12)))&gt;0</f>
        <v>1</v>
      </c>
      <c r="D12">
        <v>221080</v>
      </c>
    </row>
    <row r="13" spans="1:6" x14ac:dyDescent="0.2">
      <c r="A13">
        <v>358041</v>
      </c>
      <c r="B13" s="48" t="s">
        <v>659</v>
      </c>
      <c r="C13" s="49" t="b" cm="1">
        <f t="array" ref="C13">SUM(--ISNUMBER(SEARCH($D$2:$D$294,A13)))&gt;0</f>
        <v>1</v>
      </c>
      <c r="D13" s="6">
        <v>384010</v>
      </c>
    </row>
    <row r="14" spans="1:6" x14ac:dyDescent="0.2">
      <c r="A14">
        <v>358057</v>
      </c>
      <c r="B14" s="48" t="s">
        <v>53</v>
      </c>
      <c r="C14" s="49" t="b" cm="1">
        <f t="array" ref="C14">SUM(--ISNUMBER(SEARCH($D$2:$D$294,A14)))&gt;0</f>
        <v>1</v>
      </c>
      <c r="D14">
        <v>311070</v>
      </c>
    </row>
    <row r="15" spans="1:6" x14ac:dyDescent="0.2">
      <c r="A15">
        <v>355010</v>
      </c>
      <c r="B15" s="48" t="s">
        <v>575</v>
      </c>
      <c r="C15" s="49" t="b" cm="1">
        <f t="array" ref="C15">SUM(--ISNUMBER(SEARCH($D$2:$D$294,A15)))&gt;0</f>
        <v>0</v>
      </c>
      <c r="D15">
        <v>282080</v>
      </c>
    </row>
    <row r="16" spans="1:6" x14ac:dyDescent="0.2">
      <c r="A16">
        <v>355011</v>
      </c>
      <c r="B16" s="48" t="s">
        <v>576</v>
      </c>
      <c r="C16" s="49" t="b" cm="1">
        <f t="array" ref="C16">SUM(--ISNUMBER(SEARCH($D$2:$D$294,A16)))&gt;0</f>
        <v>0</v>
      </c>
      <c r="D16">
        <v>282080</v>
      </c>
    </row>
    <row r="17" spans="1:4" x14ac:dyDescent="0.2">
      <c r="A17">
        <v>355012</v>
      </c>
      <c r="B17" s="48" t="s">
        <v>577</v>
      </c>
      <c r="C17" s="49" t="b" cm="1">
        <f t="array" ref="C17">SUM(--ISNUMBER(SEARCH($D$2:$D$294,A17)))&gt;0</f>
        <v>0</v>
      </c>
      <c r="D17">
        <v>311320</v>
      </c>
    </row>
    <row r="18" spans="1:4" x14ac:dyDescent="0.2">
      <c r="A18">
        <v>355020</v>
      </c>
      <c r="B18" s="48" t="s">
        <v>578</v>
      </c>
      <c r="C18" s="49" t="b" cm="1">
        <f t="array" ref="C18">SUM(--ISNUMBER(SEARCH($D$2:$D$294,A18)))&gt;0</f>
        <v>0</v>
      </c>
      <c r="D18">
        <v>311320</v>
      </c>
    </row>
    <row r="19" spans="1:4" x14ac:dyDescent="0.2">
      <c r="A19">
        <v>355030</v>
      </c>
      <c r="B19" s="48" t="s">
        <v>579</v>
      </c>
      <c r="C19" s="49" t="b" cm="1">
        <f t="array" ref="C19">SUM(--ISNUMBER(SEARCH($D$2:$D$294,A19)))&gt;0</f>
        <v>0</v>
      </c>
      <c r="D19">
        <v>311320</v>
      </c>
    </row>
    <row r="20" spans="1:4" x14ac:dyDescent="0.2">
      <c r="A20">
        <v>355032</v>
      </c>
      <c r="B20" s="48" t="s">
        <v>580</v>
      </c>
      <c r="C20" s="49" t="b" cm="1">
        <f t="array" ref="C20">SUM(--ISNUMBER(SEARCH($D$2:$D$294,A20)))&gt;0</f>
        <v>0</v>
      </c>
      <c r="D20">
        <v>311320</v>
      </c>
    </row>
    <row r="21" spans="1:4" x14ac:dyDescent="0.2">
      <c r="A21">
        <v>355040</v>
      </c>
      <c r="B21" s="48" t="s">
        <v>581</v>
      </c>
      <c r="C21" s="49" t="b" cm="1">
        <f t="array" ref="C21">SUM(--ISNUMBER(SEARCH($D$2:$D$294,A21)))&gt;0</f>
        <v>0</v>
      </c>
      <c r="D21">
        <v>211004</v>
      </c>
    </row>
    <row r="22" spans="1:4" x14ac:dyDescent="0.2">
      <c r="A22">
        <v>355050</v>
      </c>
      <c r="B22" s="48" t="s">
        <v>582</v>
      </c>
      <c r="C22" s="49" t="b" cm="1">
        <f t="array" ref="C22">SUM(--ISNUMBER(SEARCH($D$2:$D$294,A22)))&gt;0</f>
        <v>0</v>
      </c>
      <c r="D22">
        <v>353040</v>
      </c>
    </row>
    <row r="23" spans="1:4" x14ac:dyDescent="0.2">
      <c r="A23">
        <v>355091</v>
      </c>
      <c r="B23" s="48" t="s">
        <v>583</v>
      </c>
      <c r="C23" s="49" t="b" cm="1">
        <f t="array" ref="C23">SUM(--ISNUMBER(SEARCH($D$2:$D$294,A23)))&gt;0</f>
        <v>0</v>
      </c>
      <c r="D23">
        <v>221060</v>
      </c>
    </row>
    <row r="24" spans="1:4" x14ac:dyDescent="0.2">
      <c r="A24">
        <v>355092</v>
      </c>
      <c r="B24" s="48" t="s">
        <v>584</v>
      </c>
      <c r="C24" s="49" t="b" cm="1">
        <f t="array" ref="C24">SUM(--ISNUMBER(SEARCH($D$2:$D$294,A24)))&gt;0</f>
        <v>0</v>
      </c>
      <c r="D24">
        <v>221060</v>
      </c>
    </row>
    <row r="25" spans="1:4" x14ac:dyDescent="0.2">
      <c r="A25">
        <v>355093</v>
      </c>
      <c r="B25" s="48" t="s">
        <v>585</v>
      </c>
      <c r="C25" s="49" t="b" cm="1">
        <f t="array" ref="C25">SUM(--ISNUMBER(SEARCH($D$2:$D$294,A25)))&gt;0</f>
        <v>0</v>
      </c>
      <c r="D25" s="5">
        <v>221060</v>
      </c>
    </row>
    <row r="26" spans="1:4" x14ac:dyDescent="0.2">
      <c r="A26">
        <v>355094</v>
      </c>
      <c r="B26" s="48" t="s">
        <v>586</v>
      </c>
      <c r="C26" s="49" t="b" cm="1">
        <f t="array" ref="C26">SUM(--ISNUMBER(SEARCH($D$2:$D$294,A26)))&gt;0</f>
        <v>0</v>
      </c>
      <c r="D26">
        <v>221270</v>
      </c>
    </row>
    <row r="27" spans="1:4" x14ac:dyDescent="0.2">
      <c r="A27">
        <v>355095</v>
      </c>
      <c r="B27" s="48" t="s">
        <v>587</v>
      </c>
      <c r="C27" s="49" t="b" cm="1">
        <f t="array" ref="C27">SUM(--ISNUMBER(SEARCH($D$2:$D$294,A27)))&gt;0</f>
        <v>0</v>
      </c>
      <c r="D27">
        <v>221270</v>
      </c>
    </row>
    <row r="28" spans="1:4" x14ac:dyDescent="0.2">
      <c r="A28">
        <v>355096</v>
      </c>
      <c r="B28" s="48" t="s">
        <v>588</v>
      </c>
      <c r="C28" s="49" t="b" cm="1">
        <f t="array" ref="C28">SUM(--ISNUMBER(SEARCH($D$2:$D$294,A28)))&gt;0</f>
        <v>0</v>
      </c>
      <c r="D28">
        <v>221270</v>
      </c>
    </row>
    <row r="29" spans="1:4" x14ac:dyDescent="0.2">
      <c r="A29">
        <v>355098</v>
      </c>
      <c r="B29" s="48" t="s">
        <v>589</v>
      </c>
      <c r="C29" s="49" t="b" cm="1">
        <f t="array" ref="C29">SUM(--ISNUMBER(SEARCH($D$2:$D$294,A29)))&gt;0</f>
        <v>0</v>
      </c>
      <c r="D29">
        <v>221270</v>
      </c>
    </row>
    <row r="30" spans="1:4" x14ac:dyDescent="0.2">
      <c r="A30">
        <v>355102</v>
      </c>
      <c r="B30" s="48" t="s">
        <v>592</v>
      </c>
      <c r="C30" s="49" t="b" cm="1">
        <f t="array" ref="C30">SUM(--ISNUMBER(SEARCH($D$2:$D$294,A30)))&gt;0</f>
        <v>0</v>
      </c>
      <c r="D30">
        <v>311190</v>
      </c>
    </row>
    <row r="31" spans="1:4" x14ac:dyDescent="0.2">
      <c r="A31">
        <v>355103</v>
      </c>
      <c r="B31" s="48" t="s">
        <v>593</v>
      </c>
      <c r="C31" s="49" t="b" cm="1">
        <f t="array" ref="C31">SUM(--ISNUMBER(SEARCH($D$2:$D$294,A31)))&gt;0</f>
        <v>0</v>
      </c>
      <c r="D31">
        <v>311190</v>
      </c>
    </row>
    <row r="32" spans="1:4" x14ac:dyDescent="0.2">
      <c r="A32">
        <v>355104</v>
      </c>
      <c r="B32" s="48" t="s">
        <v>594</v>
      </c>
      <c r="C32" s="49" t="b" cm="1">
        <f t="array" ref="C32">SUM(--ISNUMBER(SEARCH($D$2:$D$294,A32)))&gt;0</f>
        <v>0</v>
      </c>
      <c r="D32">
        <v>312090</v>
      </c>
    </row>
    <row r="33" spans="1:4" x14ac:dyDescent="0.2">
      <c r="A33">
        <v>355105</v>
      </c>
      <c r="B33" s="48" t="s">
        <v>595</v>
      </c>
      <c r="C33" s="49" t="b" cm="1">
        <f t="array" ref="C33">SUM(--ISNUMBER(SEARCH($D$2:$D$294,A33)))&gt;0</f>
        <v>0</v>
      </c>
      <c r="D33">
        <v>221126</v>
      </c>
    </row>
    <row r="34" spans="1:4" x14ac:dyDescent="0.2">
      <c r="A34">
        <v>355107</v>
      </c>
      <c r="B34" s="48" t="s">
        <v>596</v>
      </c>
      <c r="C34" s="49" t="b" cm="1">
        <f t="array" ref="C34">SUM(--ISNUMBER(SEARCH($D$2:$D$294,A34)))&gt;0</f>
        <v>0</v>
      </c>
      <c r="D34">
        <v>345033</v>
      </c>
    </row>
    <row r="35" spans="1:4" x14ac:dyDescent="0.2">
      <c r="A35">
        <v>355108</v>
      </c>
      <c r="B35" s="48" t="s">
        <v>597</v>
      </c>
      <c r="C35" s="49" t="b" cm="1">
        <f t="array" ref="C35">SUM(--ISNUMBER(SEARCH($D$2:$D$294,A35)))&gt;0</f>
        <v>0</v>
      </c>
      <c r="D35">
        <v>345033</v>
      </c>
    </row>
    <row r="36" spans="1:4" x14ac:dyDescent="0.2">
      <c r="A36">
        <v>355109</v>
      </c>
      <c r="B36" s="48" t="s">
        <v>598</v>
      </c>
      <c r="C36" s="49" t="b" cm="1">
        <f t="array" ref="C36">SUM(--ISNUMBER(SEARCH($D$2:$D$294,A36)))&gt;0</f>
        <v>0</v>
      </c>
      <c r="D36">
        <v>283110</v>
      </c>
    </row>
    <row r="37" spans="1:4" x14ac:dyDescent="0.2">
      <c r="A37">
        <v>355110</v>
      </c>
      <c r="B37" s="48" t="s">
        <v>599</v>
      </c>
      <c r="C37" s="49" t="b" cm="1">
        <f t="array" ref="C37">SUM(--ISNUMBER(SEARCH($D$2:$D$294,A37)))&gt;0</f>
        <v>0</v>
      </c>
      <c r="D37">
        <v>283110</v>
      </c>
    </row>
    <row r="38" spans="1:4" x14ac:dyDescent="0.2">
      <c r="A38">
        <v>355112</v>
      </c>
      <c r="B38" s="48" t="s">
        <v>600</v>
      </c>
      <c r="C38" s="49" t="b" cm="1">
        <f t="array" ref="C38">SUM(--ISNUMBER(SEARCH($D$2:$D$294,A38)))&gt;0</f>
        <v>0</v>
      </c>
      <c r="D38">
        <v>373060</v>
      </c>
    </row>
    <row r="39" spans="1:4" x14ac:dyDescent="0.2">
      <c r="A39">
        <v>355122</v>
      </c>
      <c r="B39" s="48" t="s">
        <v>602</v>
      </c>
      <c r="C39" s="49" t="b" cm="1">
        <f t="array" ref="C39">SUM(--ISNUMBER(SEARCH($D$2:$D$294,A39)))&gt;0</f>
        <v>0</v>
      </c>
      <c r="D39">
        <v>282110</v>
      </c>
    </row>
    <row r="40" spans="1:4" x14ac:dyDescent="0.2">
      <c r="A40">
        <v>355123</v>
      </c>
      <c r="B40" s="48" t="s">
        <v>603</v>
      </c>
      <c r="C40" s="49" t="b" cm="1">
        <f t="array" ref="C40">SUM(--ISNUMBER(SEARCH($D$2:$D$294,A40)))&gt;0</f>
        <v>0</v>
      </c>
      <c r="D40">
        <v>311160</v>
      </c>
    </row>
    <row r="41" spans="1:4" x14ac:dyDescent="0.2">
      <c r="A41">
        <v>355124</v>
      </c>
      <c r="B41" s="48" t="s">
        <v>604</v>
      </c>
      <c r="C41" s="49" t="b" cm="1">
        <f t="array" ref="C41">SUM(--ISNUMBER(SEARCH($D$2:$D$294,A41)))&gt;0</f>
        <v>0</v>
      </c>
      <c r="D41">
        <v>311160</v>
      </c>
    </row>
    <row r="42" spans="1:4" x14ac:dyDescent="0.2">
      <c r="A42">
        <v>355125</v>
      </c>
      <c r="B42" s="48" t="s">
        <v>605</v>
      </c>
      <c r="C42" s="49" t="b" cm="1">
        <f t="array" ref="C42">SUM(--ISNUMBER(SEARCH($D$2:$D$294,A42)))&gt;0</f>
        <v>0</v>
      </c>
      <c r="D42">
        <v>311160</v>
      </c>
    </row>
    <row r="43" spans="1:4" x14ac:dyDescent="0.2">
      <c r="A43">
        <v>355130</v>
      </c>
      <c r="B43" s="48" t="s">
        <v>606</v>
      </c>
      <c r="C43" s="49" t="b" cm="1">
        <f t="array" ref="C43">SUM(--ISNUMBER(SEARCH($D$2:$D$294,A43)))&gt;0</f>
        <v>0</v>
      </c>
      <c r="D43">
        <v>311160</v>
      </c>
    </row>
    <row r="44" spans="1:4" x14ac:dyDescent="0.2">
      <c r="A44">
        <v>355131</v>
      </c>
      <c r="B44" s="48" t="s">
        <v>607</v>
      </c>
      <c r="C44" s="49" t="b" cm="1">
        <f t="array" ref="C44">SUM(--ISNUMBER(SEARCH($D$2:$D$294,A44)))&gt;0</f>
        <v>0</v>
      </c>
      <c r="D44">
        <v>311160</v>
      </c>
    </row>
    <row r="45" spans="1:4" x14ac:dyDescent="0.2">
      <c r="A45">
        <v>355150</v>
      </c>
      <c r="B45" s="48" t="s">
        <v>608</v>
      </c>
      <c r="C45" s="49" t="b" cm="1">
        <f t="array" ref="C45">SUM(--ISNUMBER(SEARCH($D$2:$D$294,A45)))&gt;0</f>
        <v>0</v>
      </c>
      <c r="D45">
        <v>311160</v>
      </c>
    </row>
    <row r="46" spans="1:4" x14ac:dyDescent="0.2">
      <c r="A46">
        <v>355160</v>
      </c>
      <c r="B46" s="48" t="s">
        <v>609</v>
      </c>
      <c r="C46" s="49" t="b" cm="1">
        <f t="array" ref="C46">SUM(--ISNUMBER(SEARCH($D$2:$D$294,A46)))&gt;0</f>
        <v>0</v>
      </c>
      <c r="D46">
        <v>313010</v>
      </c>
    </row>
    <row r="47" spans="1:4" x14ac:dyDescent="0.2">
      <c r="A47">
        <v>355161</v>
      </c>
      <c r="B47" s="48" t="s">
        <v>610</v>
      </c>
      <c r="C47" s="49" t="b" cm="1">
        <f t="array" ref="C47">SUM(--ISNUMBER(SEARCH($D$2:$D$294,A47)))&gt;0</f>
        <v>0</v>
      </c>
      <c r="D47">
        <v>313010</v>
      </c>
    </row>
    <row r="48" spans="1:4" x14ac:dyDescent="0.2">
      <c r="A48">
        <v>355180</v>
      </c>
      <c r="B48" s="48" t="s">
        <v>611</v>
      </c>
      <c r="C48" s="49" t="b" cm="1">
        <f t="array" ref="C48">SUM(--ISNUMBER(SEARCH($D$2:$D$294,A48)))&gt;0</f>
        <v>0</v>
      </c>
      <c r="D48">
        <v>313010</v>
      </c>
    </row>
    <row r="49" spans="1:4" x14ac:dyDescent="0.2">
      <c r="A49">
        <v>355190</v>
      </c>
      <c r="B49" s="48" t="s">
        <v>612</v>
      </c>
      <c r="C49" s="49" t="b" cm="1">
        <f t="array" ref="C49">SUM(--ISNUMBER(SEARCH($D$2:$D$294,A49)))&gt;0</f>
        <v>0</v>
      </c>
      <c r="D49">
        <v>313010</v>
      </c>
    </row>
    <row r="50" spans="1:4" x14ac:dyDescent="0.2">
      <c r="A50">
        <v>355200</v>
      </c>
      <c r="B50" s="48" t="s">
        <v>613</v>
      </c>
      <c r="C50" s="49" t="b" cm="1">
        <f t="array" ref="C50">SUM(--ISNUMBER(SEARCH($D$2:$D$294,A50)))&gt;0</f>
        <v>0</v>
      </c>
      <c r="D50">
        <v>313010</v>
      </c>
    </row>
    <row r="51" spans="1:4" x14ac:dyDescent="0.2">
      <c r="A51">
        <v>355220</v>
      </c>
      <c r="B51" s="48" t="s">
        <v>615</v>
      </c>
      <c r="C51" s="49" t="b" cm="1">
        <f t="array" ref="C51">SUM(--ISNUMBER(SEARCH($D$2:$D$294,A51)))&gt;0</f>
        <v>0</v>
      </c>
      <c r="D51">
        <v>353060</v>
      </c>
    </row>
    <row r="52" spans="1:4" x14ac:dyDescent="0.2">
      <c r="A52">
        <v>357010</v>
      </c>
      <c r="B52" s="48" t="s">
        <v>616</v>
      </c>
      <c r="C52" s="49" t="b" cm="1">
        <f t="array" ref="C52">SUM(--ISNUMBER(SEARCH($D$2:$D$294,A52)))&gt;0</f>
        <v>0</v>
      </c>
      <c r="D52">
        <v>353060</v>
      </c>
    </row>
    <row r="53" spans="1:4" x14ac:dyDescent="0.2">
      <c r="A53">
        <v>357020</v>
      </c>
      <c r="B53" s="48" t="s">
        <v>617</v>
      </c>
      <c r="C53" s="49" t="b" cm="1">
        <f t="array" ref="C53">SUM(--ISNUMBER(SEARCH($D$2:$D$294,A53)))&gt;0</f>
        <v>0</v>
      </c>
      <c r="D53" s="6">
        <v>373030</v>
      </c>
    </row>
    <row r="54" spans="1:4" x14ac:dyDescent="0.2">
      <c r="A54">
        <v>357021</v>
      </c>
      <c r="B54" s="48" t="s">
        <v>618</v>
      </c>
      <c r="C54" s="49" t="b" cm="1">
        <f t="array" ref="C54">SUM(--ISNUMBER(SEARCH($D$2:$D$294,A54)))&gt;0</f>
        <v>0</v>
      </c>
      <c r="D54">
        <v>221240</v>
      </c>
    </row>
    <row r="55" spans="1:4" x14ac:dyDescent="0.2">
      <c r="A55">
        <v>357022</v>
      </c>
      <c r="B55" s="48" t="s">
        <v>619</v>
      </c>
      <c r="C55" s="49" t="b" cm="1">
        <f t="array" ref="C55">SUM(--ISNUMBER(SEARCH($D$2:$D$294,A55)))&gt;0</f>
        <v>0</v>
      </c>
      <c r="D55">
        <v>211010</v>
      </c>
    </row>
    <row r="56" spans="1:4" x14ac:dyDescent="0.2">
      <c r="A56">
        <v>357023</v>
      </c>
      <c r="B56" s="48" t="s">
        <v>620</v>
      </c>
      <c r="C56" s="49" t="b" cm="1">
        <f t="array" ref="C56">SUM(--ISNUMBER(SEARCH($D$2:$D$294,A56)))&gt;0</f>
        <v>0</v>
      </c>
      <c r="D56">
        <v>211010</v>
      </c>
    </row>
    <row r="57" spans="1:4" x14ac:dyDescent="0.2">
      <c r="A57">
        <v>357024</v>
      </c>
      <c r="B57" s="48" t="s">
        <v>621</v>
      </c>
      <c r="C57" s="49" t="b" cm="1">
        <f t="array" ref="C57">SUM(--ISNUMBER(SEARCH($D$2:$D$294,A57)))&gt;0</f>
        <v>0</v>
      </c>
      <c r="D57">
        <v>211010</v>
      </c>
    </row>
    <row r="58" spans="1:4" x14ac:dyDescent="0.2">
      <c r="A58">
        <v>357030</v>
      </c>
      <c r="B58" s="48" t="s">
        <v>622</v>
      </c>
      <c r="C58" s="49" t="b" cm="1">
        <f t="array" ref="C58">SUM(--ISNUMBER(SEARCH($D$2:$D$294,A58)))&gt;0</f>
        <v>0</v>
      </c>
      <c r="D58">
        <v>211010</v>
      </c>
    </row>
    <row r="59" spans="1:4" x14ac:dyDescent="0.2">
      <c r="A59">
        <v>357040</v>
      </c>
      <c r="B59" s="48" t="s">
        <v>623</v>
      </c>
      <c r="C59" s="49" t="b" cm="1">
        <f t="array" ref="C59">SUM(--ISNUMBER(SEARCH($D$2:$D$294,A59)))&gt;0</f>
        <v>0</v>
      </c>
      <c r="D59">
        <v>358041</v>
      </c>
    </row>
    <row r="60" spans="1:4" x14ac:dyDescent="0.2">
      <c r="A60">
        <v>357041</v>
      </c>
      <c r="B60" s="48" t="s">
        <v>624</v>
      </c>
      <c r="C60" s="49" t="b" cm="1">
        <f t="array" ref="C60">SUM(--ISNUMBER(SEARCH($D$2:$D$294,A60)))&gt;0</f>
        <v>0</v>
      </c>
      <c r="D60">
        <v>305060</v>
      </c>
    </row>
    <row r="61" spans="1:4" x14ac:dyDescent="0.2">
      <c r="A61">
        <v>357042</v>
      </c>
      <c r="B61" s="48" t="s">
        <v>625</v>
      </c>
      <c r="C61" s="49" t="b" cm="1">
        <f t="array" ref="C61">SUM(--ISNUMBER(SEARCH($D$2:$D$294,A61)))&gt;0</f>
        <v>0</v>
      </c>
      <c r="D61">
        <v>305060</v>
      </c>
    </row>
    <row r="62" spans="1:4" x14ac:dyDescent="0.2">
      <c r="A62">
        <v>357050</v>
      </c>
      <c r="B62" s="48" t="s">
        <v>626</v>
      </c>
      <c r="C62" s="49" t="b" cm="1">
        <f t="array" ref="C62">SUM(--ISNUMBER(SEARCH($D$2:$D$294,A62)))&gt;0</f>
        <v>0</v>
      </c>
      <c r="D62">
        <v>305060</v>
      </c>
    </row>
    <row r="63" spans="1:4" x14ac:dyDescent="0.2">
      <c r="A63">
        <v>357060</v>
      </c>
      <c r="B63" s="48" t="s">
        <v>322</v>
      </c>
      <c r="C63" s="49" t="b" cm="1">
        <f t="array" ref="C63">SUM(--ISNUMBER(SEARCH($D$2:$D$294,A63)))&gt;0</f>
        <v>0</v>
      </c>
      <c r="D63">
        <v>311240</v>
      </c>
    </row>
    <row r="64" spans="1:4" x14ac:dyDescent="0.2">
      <c r="A64">
        <v>357062</v>
      </c>
      <c r="B64" s="48" t="s">
        <v>627</v>
      </c>
      <c r="C64" s="49" t="b" cm="1">
        <f t="array" ref="C64">SUM(--ISNUMBER(SEARCH($D$2:$D$294,A64)))&gt;0</f>
        <v>0</v>
      </c>
      <c r="D64">
        <v>341040</v>
      </c>
    </row>
    <row r="65" spans="1:4" x14ac:dyDescent="0.2">
      <c r="A65">
        <v>357063</v>
      </c>
      <c r="B65" s="48" t="s">
        <v>628</v>
      </c>
      <c r="C65" s="49" t="b" cm="1">
        <f t="array" ref="C65">SUM(--ISNUMBER(SEARCH($D$2:$D$294,A65)))&gt;0</f>
        <v>0</v>
      </c>
      <c r="D65">
        <v>357090</v>
      </c>
    </row>
    <row r="66" spans="1:4" x14ac:dyDescent="0.2">
      <c r="A66">
        <v>357064</v>
      </c>
      <c r="B66" s="48" t="s">
        <v>629</v>
      </c>
      <c r="C66" s="49" t="b" cm="1">
        <f t="array" ref="C66">SUM(--ISNUMBER(SEARCH($D$2:$D$294,A66)))&gt;0</f>
        <v>0</v>
      </c>
      <c r="D66">
        <v>357090</v>
      </c>
    </row>
    <row r="67" spans="1:4" x14ac:dyDescent="0.2">
      <c r="A67">
        <v>357065</v>
      </c>
      <c r="B67" s="48" t="s">
        <v>630</v>
      </c>
      <c r="C67" s="49" t="b" cm="1">
        <f t="array" ref="C67">SUM(--ISNUMBER(SEARCH($D$2:$D$294,A67)))&gt;0</f>
        <v>0</v>
      </c>
      <c r="D67">
        <v>221290</v>
      </c>
    </row>
    <row r="68" spans="1:4" x14ac:dyDescent="0.2">
      <c r="A68">
        <v>357066</v>
      </c>
      <c r="B68" s="48" t="s">
        <v>631</v>
      </c>
      <c r="C68" s="49" t="b" cm="1">
        <f t="array" ref="C68">SUM(--ISNUMBER(SEARCH($D$2:$D$294,A68)))&gt;0</f>
        <v>0</v>
      </c>
      <c r="D68">
        <v>221290</v>
      </c>
    </row>
    <row r="69" spans="1:4" x14ac:dyDescent="0.2">
      <c r="A69">
        <v>357070</v>
      </c>
      <c r="B69" s="48" t="s">
        <v>632</v>
      </c>
      <c r="C69" s="49" t="b" cm="1">
        <f t="array" ref="C69">SUM(--ISNUMBER(SEARCH($D$2:$D$294,A69)))&gt;0</f>
        <v>0</v>
      </c>
      <c r="D69">
        <v>221290</v>
      </c>
    </row>
    <row r="70" spans="1:4" x14ac:dyDescent="0.2">
      <c r="A70">
        <v>357072</v>
      </c>
      <c r="B70" s="48" t="s">
        <v>633</v>
      </c>
      <c r="C70" s="49" t="b" cm="1">
        <f t="array" ref="C70">SUM(--ISNUMBER(SEARCH($D$2:$D$294,A70)))&gt;0</f>
        <v>0</v>
      </c>
      <c r="D70">
        <v>355101</v>
      </c>
    </row>
    <row r="71" spans="1:4" x14ac:dyDescent="0.2">
      <c r="A71">
        <v>357080</v>
      </c>
      <c r="B71" s="48" t="s">
        <v>634</v>
      </c>
      <c r="C71" s="49" t="b" cm="1">
        <f t="array" ref="C71">SUM(--ISNUMBER(SEARCH($D$2:$D$294,A71)))&gt;0</f>
        <v>0</v>
      </c>
      <c r="D71">
        <v>355101</v>
      </c>
    </row>
    <row r="72" spans="1:4" x14ac:dyDescent="0.2">
      <c r="A72">
        <v>357091</v>
      </c>
      <c r="B72" s="48" t="s">
        <v>635</v>
      </c>
      <c r="C72" s="49" t="b" cm="1">
        <f t="array" ref="C72">SUM(--ISNUMBER(SEARCH($D$2:$D$294,A72)))&gt;0</f>
        <v>0</v>
      </c>
      <c r="D72">
        <v>323180</v>
      </c>
    </row>
    <row r="73" spans="1:4" x14ac:dyDescent="0.2">
      <c r="A73">
        <v>357093</v>
      </c>
      <c r="B73" s="48" t="s">
        <v>636</v>
      </c>
      <c r="C73" s="49" t="b" cm="1">
        <f t="array" ref="C73">SUM(--ISNUMBER(SEARCH($D$2:$D$294,A73)))&gt;0</f>
        <v>0</v>
      </c>
      <c r="D73">
        <v>221113</v>
      </c>
    </row>
    <row r="74" spans="1:4" x14ac:dyDescent="0.2">
      <c r="A74">
        <v>357102</v>
      </c>
      <c r="B74" s="48" t="s">
        <v>637</v>
      </c>
      <c r="C74" s="49" t="b" cm="1">
        <f t="array" ref="C74">SUM(--ISNUMBER(SEARCH($D$2:$D$294,A74)))&gt;0</f>
        <v>0</v>
      </c>
      <c r="D74">
        <v>221113</v>
      </c>
    </row>
    <row r="75" spans="1:4" x14ac:dyDescent="0.2">
      <c r="A75">
        <v>357111</v>
      </c>
      <c r="B75" s="48" t="s">
        <v>638</v>
      </c>
      <c r="C75" s="49" t="b" cm="1">
        <f t="array" ref="C75">SUM(--ISNUMBER(SEARCH($D$2:$D$294,A75)))&gt;0</f>
        <v>0</v>
      </c>
      <c r="D75">
        <v>221070</v>
      </c>
    </row>
    <row r="76" spans="1:4" x14ac:dyDescent="0.2">
      <c r="A76">
        <v>357112</v>
      </c>
      <c r="B76" s="48" t="s">
        <v>639</v>
      </c>
      <c r="C76" s="49" t="b" cm="1">
        <f t="array" ref="C76">SUM(--ISNUMBER(SEARCH($D$2:$D$294,A76)))&gt;0</f>
        <v>0</v>
      </c>
      <c r="D76">
        <v>221041</v>
      </c>
    </row>
    <row r="77" spans="1:4" x14ac:dyDescent="0.2">
      <c r="A77">
        <v>357120</v>
      </c>
      <c r="B77" s="48" t="s">
        <v>640</v>
      </c>
      <c r="C77" s="49" t="b" cm="1">
        <f t="array" ref="C77">SUM(--ISNUMBER(SEARCH($D$2:$D$294,A77)))&gt;0</f>
        <v>0</v>
      </c>
      <c r="D77">
        <v>221041</v>
      </c>
    </row>
    <row r="78" spans="1:4" x14ac:dyDescent="0.2">
      <c r="A78">
        <v>357121</v>
      </c>
      <c r="B78" s="48" t="s">
        <v>641</v>
      </c>
      <c r="C78" s="49" t="b" cm="1">
        <f t="array" ref="C78">SUM(--ISNUMBER(SEARCH($D$2:$D$294,A78)))&gt;0</f>
        <v>0</v>
      </c>
      <c r="D78">
        <v>232010</v>
      </c>
    </row>
    <row r="79" spans="1:4" x14ac:dyDescent="0.2">
      <c r="A79">
        <v>357122</v>
      </c>
      <c r="B79" s="48" t="s">
        <v>642</v>
      </c>
      <c r="C79" s="49" t="b" cm="1">
        <f t="array" ref="C79">SUM(--ISNUMBER(SEARCH($D$2:$D$294,A79)))&gt;0</f>
        <v>0</v>
      </c>
      <c r="D79">
        <v>353030</v>
      </c>
    </row>
    <row r="80" spans="1:4" x14ac:dyDescent="0.2">
      <c r="A80">
        <v>357123</v>
      </c>
      <c r="B80" s="48" t="s">
        <v>643</v>
      </c>
      <c r="C80" s="49" t="b" cm="1">
        <f t="array" ref="C80">SUM(--ISNUMBER(SEARCH($D$2:$D$294,A80)))&gt;0</f>
        <v>0</v>
      </c>
      <c r="D80">
        <v>312270</v>
      </c>
    </row>
    <row r="81" spans="1:4" x14ac:dyDescent="0.2">
      <c r="A81">
        <v>357130</v>
      </c>
      <c r="B81" s="48" t="s">
        <v>644</v>
      </c>
      <c r="C81" s="49" t="b" cm="1">
        <f t="array" ref="C81">SUM(--ISNUMBER(SEARCH($D$2:$D$294,A81)))&gt;0</f>
        <v>0</v>
      </c>
      <c r="D81">
        <v>312020</v>
      </c>
    </row>
    <row r="82" spans="1:4" x14ac:dyDescent="0.2">
      <c r="A82">
        <v>357140</v>
      </c>
      <c r="B82" s="48" t="s">
        <v>645</v>
      </c>
      <c r="C82" s="49" t="b" cm="1">
        <f t="array" ref="C82">SUM(--ISNUMBER(SEARCH($D$2:$D$294,A82)))&gt;0</f>
        <v>0</v>
      </c>
      <c r="D82">
        <v>221080</v>
      </c>
    </row>
    <row r="83" spans="1:4" x14ac:dyDescent="0.2">
      <c r="A83">
        <v>357153</v>
      </c>
      <c r="B83" s="48" t="s">
        <v>647</v>
      </c>
      <c r="C83" s="49" t="b" cm="1">
        <f t="array" ref="C83">SUM(--ISNUMBER(SEARCH($D$2:$D$294,A83)))&gt;0</f>
        <v>0</v>
      </c>
      <c r="D83">
        <v>221080</v>
      </c>
    </row>
    <row r="84" spans="1:4" x14ac:dyDescent="0.2">
      <c r="A84">
        <v>357160</v>
      </c>
      <c r="B84" s="48" t="s">
        <v>648</v>
      </c>
      <c r="C84" s="49" t="b" cm="1">
        <f t="array" ref="C84">SUM(--ISNUMBER(SEARCH($D$2:$D$294,A84)))&gt;0</f>
        <v>0</v>
      </c>
      <c r="D84">
        <v>221080</v>
      </c>
    </row>
    <row r="85" spans="1:4" x14ac:dyDescent="0.2">
      <c r="A85">
        <v>358010</v>
      </c>
      <c r="B85" s="48" t="s">
        <v>649</v>
      </c>
      <c r="C85" s="49" t="b" cm="1">
        <f t="array" ref="C85">SUM(--ISNUMBER(SEARCH($D$2:$D$294,A85)))&gt;0</f>
        <v>0</v>
      </c>
      <c r="D85">
        <v>211060</v>
      </c>
    </row>
    <row r="86" spans="1:4" x14ac:dyDescent="0.2">
      <c r="A86">
        <v>358011</v>
      </c>
      <c r="B86" s="48" t="s">
        <v>650</v>
      </c>
      <c r="C86" s="49" t="b" cm="1">
        <f t="array" ref="C86">SUM(--ISNUMBER(SEARCH($D$2:$D$294,A86)))&gt;0</f>
        <v>0</v>
      </c>
      <c r="D86">
        <v>211060</v>
      </c>
    </row>
    <row r="87" spans="1:4" x14ac:dyDescent="0.2">
      <c r="A87">
        <v>358012</v>
      </c>
      <c r="B87" s="48" t="s">
        <v>651</v>
      </c>
      <c r="C87" s="49" t="b" cm="1">
        <f t="array" ref="C87">SUM(--ISNUMBER(SEARCH($D$2:$D$294,A87)))&gt;0</f>
        <v>0</v>
      </c>
      <c r="D87">
        <v>372020</v>
      </c>
    </row>
    <row r="88" spans="1:4" x14ac:dyDescent="0.2">
      <c r="A88">
        <v>358020</v>
      </c>
      <c r="B88" s="48" t="s">
        <v>652</v>
      </c>
      <c r="C88" s="49" t="b" cm="1">
        <f t="array" ref="C88">SUM(--ISNUMBER(SEARCH($D$2:$D$294,A88)))&gt;0</f>
        <v>0</v>
      </c>
      <c r="D88">
        <v>372020</v>
      </c>
    </row>
    <row r="89" spans="1:4" x14ac:dyDescent="0.2">
      <c r="A89">
        <v>358022</v>
      </c>
      <c r="B89" s="48" t="s">
        <v>653</v>
      </c>
      <c r="C89" s="49" t="b" cm="1">
        <f t="array" ref="C89">SUM(--ISNUMBER(SEARCH($D$2:$D$294,A89)))&gt;0</f>
        <v>0</v>
      </c>
      <c r="D89">
        <v>221190</v>
      </c>
    </row>
    <row r="90" spans="1:4" x14ac:dyDescent="0.2">
      <c r="A90">
        <v>358023</v>
      </c>
      <c r="B90" s="48" t="s">
        <v>654</v>
      </c>
      <c r="C90" s="49" t="b" cm="1">
        <f t="array" ref="C90">SUM(--ISNUMBER(SEARCH($D$2:$D$294,A90)))&gt;0</f>
        <v>0</v>
      </c>
      <c r="D90">
        <v>353010</v>
      </c>
    </row>
    <row r="91" spans="1:4" x14ac:dyDescent="0.2">
      <c r="A91">
        <v>358024</v>
      </c>
      <c r="B91" s="48" t="s">
        <v>655</v>
      </c>
      <c r="C91" s="49" t="b" cm="1">
        <f t="array" ref="C91">SUM(--ISNUMBER(SEARCH($D$2:$D$294,A91)))&gt;0</f>
        <v>0</v>
      </c>
      <c r="D91">
        <v>353010</v>
      </c>
    </row>
    <row r="92" spans="1:4" x14ac:dyDescent="0.2">
      <c r="A92">
        <v>358025</v>
      </c>
      <c r="B92" s="48" t="s">
        <v>656</v>
      </c>
      <c r="C92" s="49" t="b" cm="1">
        <f t="array" ref="C92">SUM(--ISNUMBER(SEARCH($D$2:$D$294,A92)))&gt;0</f>
        <v>0</v>
      </c>
      <c r="D92">
        <v>353010</v>
      </c>
    </row>
    <row r="93" spans="1:4" x14ac:dyDescent="0.2">
      <c r="A93">
        <v>358030</v>
      </c>
      <c r="B93" s="48" t="s">
        <v>657</v>
      </c>
      <c r="C93" s="49" t="b" cm="1">
        <f t="array" ref="C93">SUM(--ISNUMBER(SEARCH($D$2:$D$294,A93)))&gt;0</f>
        <v>0</v>
      </c>
      <c r="D93">
        <v>353010</v>
      </c>
    </row>
    <row r="94" spans="1:4" x14ac:dyDescent="0.2">
      <c r="A94">
        <v>358040</v>
      </c>
      <c r="B94" s="48" t="s">
        <v>658</v>
      </c>
      <c r="C94" s="49" t="b" cm="1">
        <f t="array" ref="C94">SUM(--ISNUMBER(SEARCH($D$2:$D$294,A94)))&gt;0</f>
        <v>0</v>
      </c>
      <c r="D94">
        <v>311350</v>
      </c>
    </row>
    <row r="95" spans="1:4" x14ac:dyDescent="0.2">
      <c r="A95">
        <v>358049</v>
      </c>
      <c r="B95" s="48" t="s">
        <v>660</v>
      </c>
      <c r="C95" s="49" t="b" cm="1">
        <f t="array" ref="C95">SUM(--ISNUMBER(SEARCH($D$2:$D$294,A95)))&gt;0</f>
        <v>0</v>
      </c>
      <c r="D95">
        <v>384010</v>
      </c>
    </row>
    <row r="96" spans="1:4" x14ac:dyDescent="0.2">
      <c r="A96">
        <v>358050</v>
      </c>
      <c r="B96" s="48" t="s">
        <v>661</v>
      </c>
      <c r="C96" s="49" t="b" cm="1">
        <f t="array" ref="C96">SUM(--ISNUMBER(SEARCH($D$2:$D$294,A96)))&gt;0</f>
        <v>0</v>
      </c>
      <c r="D96">
        <v>233020</v>
      </c>
    </row>
    <row r="97" spans="1:4" x14ac:dyDescent="0.2">
      <c r="A97">
        <v>358052</v>
      </c>
      <c r="B97" s="48" t="s">
        <v>662</v>
      </c>
      <c r="C97" s="49" t="b" cm="1">
        <f t="array" ref="C97">SUM(--ISNUMBER(SEARCH($D$2:$D$294,A97)))&gt;0</f>
        <v>0</v>
      </c>
      <c r="D97">
        <v>233020</v>
      </c>
    </row>
    <row r="98" spans="1:4" x14ac:dyDescent="0.2">
      <c r="A98">
        <v>358053</v>
      </c>
      <c r="B98" s="48" t="s">
        <v>663</v>
      </c>
      <c r="C98" s="49" t="b" cm="1">
        <f t="array" ref="C98">SUM(--ISNUMBER(SEARCH($D$2:$D$294,A98)))&gt;0</f>
        <v>0</v>
      </c>
      <c r="D98">
        <v>312260</v>
      </c>
    </row>
    <row r="99" spans="1:4" x14ac:dyDescent="0.2">
      <c r="A99">
        <v>358054</v>
      </c>
      <c r="B99" s="48" t="s">
        <v>664</v>
      </c>
      <c r="C99" s="49" t="b" cm="1">
        <f t="array" ref="C99">SUM(--ISNUMBER(SEARCH($D$2:$D$294,A99)))&gt;0</f>
        <v>0</v>
      </c>
      <c r="D99">
        <v>221050</v>
      </c>
    </row>
    <row r="100" spans="1:4" x14ac:dyDescent="0.2">
      <c r="A100">
        <v>358055</v>
      </c>
      <c r="B100" s="48" t="s">
        <v>665</v>
      </c>
      <c r="C100" s="49" t="b" cm="1">
        <f t="array" ref="C100">SUM(--ISNUMBER(SEARCH($D$2:$D$294,A100)))&gt;0</f>
        <v>0</v>
      </c>
      <c r="D100">
        <v>221050</v>
      </c>
    </row>
    <row r="101" spans="1:4" x14ac:dyDescent="0.2">
      <c r="A101">
        <v>358056</v>
      </c>
      <c r="B101" s="48" t="s">
        <v>666</v>
      </c>
      <c r="C101" s="49" t="b" cm="1">
        <f t="array" ref="C101">SUM(--ISNUMBER(SEARCH($D$2:$D$294,A101)))&gt;0</f>
        <v>0</v>
      </c>
      <c r="D101">
        <v>351080</v>
      </c>
    </row>
    <row r="102" spans="1:4" x14ac:dyDescent="0.2">
      <c r="A102">
        <v>358060</v>
      </c>
      <c r="B102" s="48" t="s">
        <v>667</v>
      </c>
      <c r="C102" s="49" t="b" cm="1">
        <f t="array" ref="C102">SUM(--ISNUMBER(SEARCH($D$2:$D$294,A102)))&gt;0</f>
        <v>0</v>
      </c>
      <c r="D102">
        <v>372070</v>
      </c>
    </row>
    <row r="103" spans="1:4" x14ac:dyDescent="0.2">
      <c r="A103">
        <v>358062</v>
      </c>
      <c r="B103" s="48" t="s">
        <v>668</v>
      </c>
      <c r="C103" s="49" t="b" cm="1">
        <f t="array" ref="C103">SUM(--ISNUMBER(SEARCH($D$2:$D$294,A103)))&gt;0</f>
        <v>0</v>
      </c>
      <c r="D103">
        <v>372070</v>
      </c>
    </row>
    <row r="104" spans="1:4" x14ac:dyDescent="0.2">
      <c r="A104">
        <v>358063</v>
      </c>
      <c r="B104" s="48" t="s">
        <v>669</v>
      </c>
      <c r="C104" s="49" t="b" cm="1">
        <f t="array" ref="C104">SUM(--ISNUMBER(SEARCH($D$2:$D$294,A104)))&gt;0</f>
        <v>0</v>
      </c>
      <c r="D104">
        <v>372070</v>
      </c>
    </row>
    <row r="105" spans="1:4" x14ac:dyDescent="0.2">
      <c r="A105">
        <v>358064</v>
      </c>
      <c r="B105" s="48" t="s">
        <v>670</v>
      </c>
      <c r="C105" s="49" t="b" cm="1">
        <f t="array" ref="C105">SUM(--ISNUMBER(SEARCH($D$2:$D$294,A105)))&gt;0</f>
        <v>0</v>
      </c>
      <c r="D105">
        <v>371050</v>
      </c>
    </row>
    <row r="106" spans="1:4" x14ac:dyDescent="0.2">
      <c r="A106">
        <v>358070</v>
      </c>
      <c r="B106" s="48" t="s">
        <v>671</v>
      </c>
      <c r="C106" s="49" t="b" cm="1">
        <f t="array" ref="C106">SUM(--ISNUMBER(SEARCH($D$2:$D$294,A106)))&gt;0</f>
        <v>0</v>
      </c>
      <c r="D106">
        <v>221171</v>
      </c>
    </row>
    <row r="107" spans="1:4" x14ac:dyDescent="0.2">
      <c r="A107">
        <v>358080</v>
      </c>
      <c r="B107" s="48" t="s">
        <v>672</v>
      </c>
      <c r="C107" s="49" t="b" cm="1">
        <f t="array" ref="C107">SUM(--ISNUMBER(SEARCH($D$2:$D$294,A107)))&gt;0</f>
        <v>0</v>
      </c>
      <c r="D107">
        <v>221171</v>
      </c>
    </row>
    <row r="108" spans="1:4" x14ac:dyDescent="0.2">
      <c r="A108">
        <v>358090</v>
      </c>
      <c r="B108" s="48" t="s">
        <v>673</v>
      </c>
      <c r="C108" s="49" t="b" cm="1">
        <f t="array" ref="C108">SUM(--ISNUMBER(SEARCH($D$2:$D$294,A108)))&gt;0</f>
        <v>0</v>
      </c>
      <c r="D108">
        <v>221171</v>
      </c>
    </row>
    <row r="109" spans="1:4" x14ac:dyDescent="0.2">
      <c r="D109">
        <v>383020</v>
      </c>
    </row>
    <row r="110" spans="1:4" x14ac:dyDescent="0.2">
      <c r="D110">
        <v>383020</v>
      </c>
    </row>
    <row r="111" spans="1:4" x14ac:dyDescent="0.2">
      <c r="D111">
        <v>371051</v>
      </c>
    </row>
    <row r="112" spans="1:4" x14ac:dyDescent="0.2">
      <c r="D112">
        <v>358057</v>
      </c>
    </row>
    <row r="113" spans="4:4" x14ac:dyDescent="0.2">
      <c r="D113">
        <v>358057</v>
      </c>
    </row>
    <row r="114" spans="4:4" x14ac:dyDescent="0.2">
      <c r="D114">
        <v>268030</v>
      </c>
    </row>
    <row r="115" spans="4:4" x14ac:dyDescent="0.2">
      <c r="D115">
        <v>268030</v>
      </c>
    </row>
    <row r="116" spans="4:4" x14ac:dyDescent="0.2">
      <c r="D116">
        <v>268030</v>
      </c>
    </row>
    <row r="117" spans="4:4" x14ac:dyDescent="0.2">
      <c r="D117">
        <v>323130</v>
      </c>
    </row>
    <row r="118" spans="4:4" x14ac:dyDescent="0.2">
      <c r="D118" s="6">
        <v>323130</v>
      </c>
    </row>
    <row r="119" spans="4:4" x14ac:dyDescent="0.2">
      <c r="D119" s="6">
        <v>323130</v>
      </c>
    </row>
    <row r="120" spans="4:4" x14ac:dyDescent="0.2">
      <c r="D120" s="6">
        <v>323130</v>
      </c>
    </row>
    <row r="121" spans="4:4" x14ac:dyDescent="0.2">
      <c r="D121">
        <v>284120</v>
      </c>
    </row>
    <row r="122" spans="4:4" x14ac:dyDescent="0.2">
      <c r="D122">
        <v>284120</v>
      </c>
    </row>
    <row r="123" spans="4:4" x14ac:dyDescent="0.2">
      <c r="D123">
        <v>283240</v>
      </c>
    </row>
    <row r="124" spans="4:4" x14ac:dyDescent="0.2">
      <c r="D124">
        <v>284010</v>
      </c>
    </row>
    <row r="125" spans="4:4" x14ac:dyDescent="0.2">
      <c r="D125">
        <v>311110</v>
      </c>
    </row>
    <row r="126" spans="4:4" x14ac:dyDescent="0.2">
      <c r="D126">
        <v>263280</v>
      </c>
    </row>
    <row r="127" spans="4:4" x14ac:dyDescent="0.2">
      <c r="D127">
        <v>332010</v>
      </c>
    </row>
    <row r="128" spans="4:4" x14ac:dyDescent="0.2">
      <c r="D128">
        <v>332010</v>
      </c>
    </row>
    <row r="129" spans="4:4" x14ac:dyDescent="0.2">
      <c r="D129">
        <v>332010</v>
      </c>
    </row>
    <row r="130" spans="4:4" x14ac:dyDescent="0.2">
      <c r="D130">
        <v>332010</v>
      </c>
    </row>
    <row r="131" spans="4:4" x14ac:dyDescent="0.2">
      <c r="D131">
        <v>332010</v>
      </c>
    </row>
    <row r="132" spans="4:4" x14ac:dyDescent="0.2">
      <c r="D132">
        <v>332010</v>
      </c>
    </row>
    <row r="133" spans="4:4" x14ac:dyDescent="0.2">
      <c r="D133">
        <v>282090</v>
      </c>
    </row>
    <row r="134" spans="4:4" x14ac:dyDescent="0.2">
      <c r="D134">
        <v>311020</v>
      </c>
    </row>
    <row r="135" spans="4:4" x14ac:dyDescent="0.2">
      <c r="D135">
        <v>311020</v>
      </c>
    </row>
    <row r="136" spans="4:4" x14ac:dyDescent="0.2">
      <c r="D136">
        <v>311020</v>
      </c>
    </row>
    <row r="137" spans="4:4" x14ac:dyDescent="0.2">
      <c r="D137">
        <v>283020</v>
      </c>
    </row>
    <row r="138" spans="4:4" x14ac:dyDescent="0.2">
      <c r="D138">
        <v>373080</v>
      </c>
    </row>
    <row r="139" spans="4:4" x14ac:dyDescent="0.2">
      <c r="D139">
        <v>373080</v>
      </c>
    </row>
    <row r="140" spans="4:4" x14ac:dyDescent="0.2">
      <c r="D140">
        <v>282120</v>
      </c>
    </row>
    <row r="141" spans="4:4" x14ac:dyDescent="0.2">
      <c r="D141">
        <v>282120</v>
      </c>
    </row>
    <row r="142" spans="4:4" x14ac:dyDescent="0.2">
      <c r="D142">
        <v>312060</v>
      </c>
    </row>
    <row r="143" spans="4:4" x14ac:dyDescent="0.2">
      <c r="D143">
        <v>312060</v>
      </c>
    </row>
    <row r="144" spans="4:4" x14ac:dyDescent="0.2">
      <c r="D144">
        <v>373050</v>
      </c>
    </row>
    <row r="145" spans="4:4" x14ac:dyDescent="0.2">
      <c r="D145">
        <v>383010</v>
      </c>
    </row>
    <row r="146" spans="4:4" x14ac:dyDescent="0.2">
      <c r="D146">
        <v>383010</v>
      </c>
    </row>
    <row r="147" spans="4:4" x14ac:dyDescent="0.2">
      <c r="D147">
        <v>383060</v>
      </c>
    </row>
    <row r="148" spans="4:4" x14ac:dyDescent="0.2">
      <c r="D148">
        <v>383060</v>
      </c>
    </row>
    <row r="149" spans="4:4" x14ac:dyDescent="0.2">
      <c r="D149">
        <v>355100</v>
      </c>
    </row>
    <row r="150" spans="4:4" x14ac:dyDescent="0.2">
      <c r="D150">
        <v>355100</v>
      </c>
    </row>
    <row r="151" spans="4:4" x14ac:dyDescent="0.2">
      <c r="D151">
        <v>323080</v>
      </c>
    </row>
    <row r="152" spans="4:4" x14ac:dyDescent="0.2">
      <c r="D152">
        <v>355120</v>
      </c>
    </row>
    <row r="153" spans="4:4" x14ac:dyDescent="0.2">
      <c r="D153">
        <v>355120</v>
      </c>
    </row>
    <row r="154" spans="4:4" x14ac:dyDescent="0.2">
      <c r="D154">
        <v>222120</v>
      </c>
    </row>
    <row r="155" spans="4:4" x14ac:dyDescent="0.2">
      <c r="D155">
        <v>222120</v>
      </c>
    </row>
    <row r="156" spans="4:4" x14ac:dyDescent="0.2">
      <c r="D156">
        <v>222120</v>
      </c>
    </row>
    <row r="157" spans="4:4" x14ac:dyDescent="0.2">
      <c r="D157">
        <v>357110</v>
      </c>
    </row>
    <row r="158" spans="4:4" x14ac:dyDescent="0.2">
      <c r="D158">
        <v>222100</v>
      </c>
    </row>
    <row r="159" spans="4:4" x14ac:dyDescent="0.2">
      <c r="D159">
        <v>357100</v>
      </c>
    </row>
    <row r="160" spans="4:4" x14ac:dyDescent="0.2">
      <c r="D160">
        <v>231040</v>
      </c>
    </row>
    <row r="161" spans="4:4" x14ac:dyDescent="0.2">
      <c r="D161">
        <v>312150</v>
      </c>
    </row>
    <row r="162" spans="4:4" x14ac:dyDescent="0.2">
      <c r="D162">
        <v>311310</v>
      </c>
    </row>
    <row r="163" spans="4:4" x14ac:dyDescent="0.2">
      <c r="D163">
        <v>311310</v>
      </c>
    </row>
    <row r="164" spans="4:4" x14ac:dyDescent="0.2">
      <c r="D164">
        <v>311310</v>
      </c>
    </row>
    <row r="165" spans="4:4" x14ac:dyDescent="0.2">
      <c r="D165">
        <v>323150</v>
      </c>
    </row>
    <row r="166" spans="4:4" x14ac:dyDescent="0.2">
      <c r="D166" s="6">
        <v>323150</v>
      </c>
    </row>
    <row r="167" spans="4:4" x14ac:dyDescent="0.2">
      <c r="D167" s="6">
        <v>323150</v>
      </c>
    </row>
    <row r="168" spans="4:4" x14ac:dyDescent="0.2">
      <c r="D168" s="6">
        <v>323150</v>
      </c>
    </row>
    <row r="169" spans="4:4" x14ac:dyDescent="0.2">
      <c r="D169">
        <v>221115</v>
      </c>
    </row>
    <row r="170" spans="4:4" x14ac:dyDescent="0.2">
      <c r="D170">
        <v>221115</v>
      </c>
    </row>
    <row r="171" spans="4:4" x14ac:dyDescent="0.2">
      <c r="D171">
        <v>312140</v>
      </c>
    </row>
    <row r="172" spans="4:4" x14ac:dyDescent="0.2">
      <c r="D172">
        <v>357061</v>
      </c>
    </row>
    <row r="173" spans="4:4" x14ac:dyDescent="0.2">
      <c r="D173" s="6">
        <v>357061</v>
      </c>
    </row>
    <row r="174" spans="4:4" x14ac:dyDescent="0.2">
      <c r="D174">
        <v>332020</v>
      </c>
    </row>
    <row r="175" spans="4:4" x14ac:dyDescent="0.2">
      <c r="D175">
        <v>323020</v>
      </c>
    </row>
    <row r="176" spans="4:4" x14ac:dyDescent="0.2">
      <c r="D176">
        <v>222060</v>
      </c>
    </row>
    <row r="177" spans="4:4" x14ac:dyDescent="0.2">
      <c r="D177">
        <v>341060</v>
      </c>
    </row>
    <row r="178" spans="4:4" x14ac:dyDescent="0.2">
      <c r="D178">
        <v>284040</v>
      </c>
    </row>
    <row r="179" spans="4:4" x14ac:dyDescent="0.2">
      <c r="D179">
        <v>284040</v>
      </c>
    </row>
    <row r="180" spans="4:4" x14ac:dyDescent="0.2">
      <c r="D180">
        <v>284040</v>
      </c>
    </row>
    <row r="181" spans="4:4" x14ac:dyDescent="0.2">
      <c r="D181">
        <v>284040</v>
      </c>
    </row>
    <row r="182" spans="4:4" x14ac:dyDescent="0.2">
      <c r="D182">
        <v>323110</v>
      </c>
    </row>
    <row r="183" spans="4:4" x14ac:dyDescent="0.2">
      <c r="D183">
        <v>221101</v>
      </c>
    </row>
    <row r="184" spans="4:4" x14ac:dyDescent="0.2">
      <c r="D184">
        <v>221101</v>
      </c>
    </row>
    <row r="185" spans="4:4" x14ac:dyDescent="0.2">
      <c r="D185">
        <v>221101</v>
      </c>
    </row>
    <row r="186" spans="4:4" x14ac:dyDescent="0.2">
      <c r="D186">
        <v>273082</v>
      </c>
    </row>
    <row r="187" spans="4:4" x14ac:dyDescent="0.2">
      <c r="D187">
        <v>353050</v>
      </c>
    </row>
    <row r="188" spans="4:4" x14ac:dyDescent="0.2">
      <c r="D188">
        <v>353050</v>
      </c>
    </row>
    <row r="189" spans="4:4" x14ac:dyDescent="0.2">
      <c r="D189">
        <v>353050</v>
      </c>
    </row>
    <row r="190" spans="4:4" x14ac:dyDescent="0.2">
      <c r="D190">
        <v>353050</v>
      </c>
    </row>
    <row r="191" spans="4:4" x14ac:dyDescent="0.2">
      <c r="D191">
        <v>351020</v>
      </c>
    </row>
    <row r="192" spans="4:4" x14ac:dyDescent="0.2">
      <c r="D192">
        <v>212050</v>
      </c>
    </row>
    <row r="193" spans="4:4" x14ac:dyDescent="0.2">
      <c r="D193">
        <v>212050</v>
      </c>
    </row>
    <row r="194" spans="4:4" x14ac:dyDescent="0.2">
      <c r="D194">
        <v>223020</v>
      </c>
    </row>
    <row r="195" spans="4:4" x14ac:dyDescent="0.2">
      <c r="D195">
        <v>223020</v>
      </c>
    </row>
    <row r="196" spans="4:4" x14ac:dyDescent="0.2">
      <c r="D196">
        <v>223020</v>
      </c>
    </row>
    <row r="197" spans="4:4" x14ac:dyDescent="0.2">
      <c r="D197">
        <v>241050</v>
      </c>
    </row>
    <row r="198" spans="4:4" x14ac:dyDescent="0.2">
      <c r="D198">
        <v>311290</v>
      </c>
    </row>
    <row r="199" spans="4:4" x14ac:dyDescent="0.2">
      <c r="D199">
        <v>311290</v>
      </c>
    </row>
    <row r="200" spans="4:4" x14ac:dyDescent="0.2">
      <c r="D200" s="6">
        <v>311290</v>
      </c>
    </row>
    <row r="201" spans="4:4" x14ac:dyDescent="0.2">
      <c r="D201">
        <v>311290</v>
      </c>
    </row>
    <row r="202" spans="4:4" x14ac:dyDescent="0.2">
      <c r="D202">
        <v>311290</v>
      </c>
    </row>
    <row r="203" spans="4:4" x14ac:dyDescent="0.2">
      <c r="D203">
        <v>311290</v>
      </c>
    </row>
    <row r="204" spans="4:4" x14ac:dyDescent="0.2">
      <c r="D204">
        <v>311290</v>
      </c>
    </row>
    <row r="205" spans="4:4" x14ac:dyDescent="0.2">
      <c r="D205">
        <v>311290</v>
      </c>
    </row>
    <row r="206" spans="4:4" x14ac:dyDescent="0.2">
      <c r="D206">
        <v>311290</v>
      </c>
    </row>
    <row r="207" spans="4:4" x14ac:dyDescent="0.2">
      <c r="D207">
        <v>222090</v>
      </c>
    </row>
    <row r="208" spans="4:4" x14ac:dyDescent="0.2">
      <c r="D208">
        <v>342110</v>
      </c>
    </row>
    <row r="209" spans="4:4" x14ac:dyDescent="0.2">
      <c r="D209">
        <v>342110</v>
      </c>
    </row>
    <row r="210" spans="4:4" x14ac:dyDescent="0.2">
      <c r="D210">
        <v>342110</v>
      </c>
    </row>
    <row r="211" spans="4:4" x14ac:dyDescent="0.2">
      <c r="D211">
        <v>342110</v>
      </c>
    </row>
    <row r="212" spans="4:4" x14ac:dyDescent="0.2">
      <c r="D212">
        <v>342110</v>
      </c>
    </row>
    <row r="213" spans="4:4" x14ac:dyDescent="0.2">
      <c r="D213">
        <v>284170</v>
      </c>
    </row>
    <row r="214" spans="4:4" x14ac:dyDescent="0.2">
      <c r="D214">
        <v>222053</v>
      </c>
    </row>
    <row r="215" spans="4:4" x14ac:dyDescent="0.2">
      <c r="D215">
        <v>211071</v>
      </c>
    </row>
    <row r="216" spans="4:4" x14ac:dyDescent="0.2">
      <c r="D216">
        <v>382020</v>
      </c>
    </row>
    <row r="217" spans="4:4" x14ac:dyDescent="0.2">
      <c r="D217">
        <v>382020</v>
      </c>
    </row>
    <row r="218" spans="4:4" x14ac:dyDescent="0.2">
      <c r="D218">
        <v>355090</v>
      </c>
    </row>
    <row r="219" spans="4:4" x14ac:dyDescent="0.2">
      <c r="D219">
        <v>357150</v>
      </c>
    </row>
    <row r="220" spans="4:4" x14ac:dyDescent="0.2">
      <c r="D220">
        <v>357150</v>
      </c>
    </row>
    <row r="221" spans="4:4" x14ac:dyDescent="0.2">
      <c r="D221">
        <v>357150</v>
      </c>
    </row>
    <row r="222" spans="4:4" x14ac:dyDescent="0.2">
      <c r="D222">
        <v>357150</v>
      </c>
    </row>
    <row r="223" spans="4:4" x14ac:dyDescent="0.2">
      <c r="D223">
        <v>357150</v>
      </c>
    </row>
    <row r="224" spans="4:4" x14ac:dyDescent="0.2">
      <c r="D224">
        <v>357150</v>
      </c>
    </row>
    <row r="225" spans="4:4" x14ac:dyDescent="0.2">
      <c r="D225">
        <v>357150</v>
      </c>
    </row>
    <row r="226" spans="4:4" x14ac:dyDescent="0.2">
      <c r="D226">
        <v>252140</v>
      </c>
    </row>
    <row r="227" spans="4:4" x14ac:dyDescent="0.2">
      <c r="D227">
        <v>252140</v>
      </c>
    </row>
    <row r="228" spans="4:4" x14ac:dyDescent="0.2">
      <c r="D228">
        <v>252140</v>
      </c>
    </row>
    <row r="229" spans="4:4" x14ac:dyDescent="0.2">
      <c r="D229">
        <v>311280</v>
      </c>
    </row>
    <row r="230" spans="4:4" x14ac:dyDescent="0.2">
      <c r="D230">
        <v>311280</v>
      </c>
    </row>
    <row r="231" spans="4:4" x14ac:dyDescent="0.2">
      <c r="D231">
        <v>313030</v>
      </c>
    </row>
    <row r="232" spans="4:4" x14ac:dyDescent="0.2">
      <c r="D232">
        <v>352010</v>
      </c>
    </row>
    <row r="233" spans="4:4" x14ac:dyDescent="0.2">
      <c r="D233">
        <v>355210</v>
      </c>
    </row>
    <row r="234" spans="4:4" x14ac:dyDescent="0.2">
      <c r="D234">
        <v>354006</v>
      </c>
    </row>
    <row r="235" spans="4:4" x14ac:dyDescent="0.2">
      <c r="D235">
        <v>354006</v>
      </c>
    </row>
    <row r="236" spans="4:4" x14ac:dyDescent="0.2">
      <c r="D236">
        <v>354006</v>
      </c>
    </row>
    <row r="237" spans="4:4" x14ac:dyDescent="0.2">
      <c r="D237">
        <v>354006</v>
      </c>
    </row>
    <row r="238" spans="4:4" x14ac:dyDescent="0.2">
      <c r="D238">
        <v>342030</v>
      </c>
    </row>
    <row r="239" spans="4:4" x14ac:dyDescent="0.2">
      <c r="D239">
        <v>212040</v>
      </c>
    </row>
    <row r="240" spans="4:4" x14ac:dyDescent="0.2">
      <c r="D240">
        <v>212040</v>
      </c>
    </row>
    <row r="241" spans="4:4" x14ac:dyDescent="0.2">
      <c r="D241">
        <v>212040</v>
      </c>
    </row>
    <row r="242" spans="4:4" x14ac:dyDescent="0.2">
      <c r="D242">
        <v>311180</v>
      </c>
    </row>
    <row r="243" spans="4:4" x14ac:dyDescent="0.2">
      <c r="D243">
        <v>311180</v>
      </c>
    </row>
    <row r="244" spans="4:4" x14ac:dyDescent="0.2">
      <c r="D244">
        <v>311180</v>
      </c>
    </row>
    <row r="245" spans="4:4" x14ac:dyDescent="0.2">
      <c r="D245">
        <v>311180</v>
      </c>
    </row>
    <row r="246" spans="4:4" x14ac:dyDescent="0.2">
      <c r="D246">
        <v>311180</v>
      </c>
    </row>
    <row r="247" spans="4:4" x14ac:dyDescent="0.2">
      <c r="D247">
        <v>311180</v>
      </c>
    </row>
    <row r="248" spans="4:4" x14ac:dyDescent="0.2">
      <c r="D248">
        <v>311060</v>
      </c>
    </row>
    <row r="249" spans="4:4" x14ac:dyDescent="0.2">
      <c r="D249">
        <v>222052</v>
      </c>
    </row>
    <row r="250" spans="4:4" x14ac:dyDescent="0.2">
      <c r="D250" s="13">
        <v>999999</v>
      </c>
    </row>
    <row r="251" spans="4:4" x14ac:dyDescent="0.2">
      <c r="D251" s="11">
        <v>341021</v>
      </c>
    </row>
    <row r="252" spans="4:4" x14ac:dyDescent="0.2">
      <c r="D252">
        <v>360050</v>
      </c>
    </row>
    <row r="253" spans="4:4" x14ac:dyDescent="0.2">
      <c r="D253">
        <v>360050</v>
      </c>
    </row>
    <row r="254" spans="4:4" x14ac:dyDescent="0.2">
      <c r="D254">
        <v>360050</v>
      </c>
    </row>
    <row r="255" spans="4:4" x14ac:dyDescent="0.2">
      <c r="D255">
        <v>313040</v>
      </c>
    </row>
    <row r="256" spans="4:4" x14ac:dyDescent="0.2">
      <c r="D256">
        <v>321050</v>
      </c>
    </row>
    <row r="257" spans="4:4" x14ac:dyDescent="0.2">
      <c r="D257">
        <v>321050</v>
      </c>
    </row>
    <row r="258" spans="4:4" x14ac:dyDescent="0.2">
      <c r="D258">
        <v>252090</v>
      </c>
    </row>
    <row r="259" spans="4:4" x14ac:dyDescent="0.2">
      <c r="D259">
        <v>222110</v>
      </c>
    </row>
    <row r="260" spans="4:4" x14ac:dyDescent="0.2">
      <c r="D260">
        <v>222110</v>
      </c>
    </row>
    <row r="261" spans="4:4" x14ac:dyDescent="0.2">
      <c r="D261">
        <v>221010</v>
      </c>
    </row>
    <row r="262" spans="4:4" x14ac:dyDescent="0.2">
      <c r="D262">
        <v>311080</v>
      </c>
    </row>
    <row r="263" spans="4:4" x14ac:dyDescent="0.2">
      <c r="D263">
        <v>281032</v>
      </c>
    </row>
    <row r="264" spans="4:4" x14ac:dyDescent="0.2">
      <c r="D264">
        <v>213030</v>
      </c>
    </row>
    <row r="265" spans="4:4" x14ac:dyDescent="0.2">
      <c r="D265">
        <v>383030</v>
      </c>
    </row>
    <row r="266" spans="4:4" x14ac:dyDescent="0.2">
      <c r="D266">
        <v>373090</v>
      </c>
    </row>
    <row r="267" spans="4:4" x14ac:dyDescent="0.2">
      <c r="D267">
        <v>322070</v>
      </c>
    </row>
    <row r="268" spans="4:4" x14ac:dyDescent="0.2">
      <c r="D268">
        <v>354031</v>
      </c>
    </row>
    <row r="269" spans="4:4" x14ac:dyDescent="0.2">
      <c r="D269">
        <v>354031</v>
      </c>
    </row>
    <row r="270" spans="4:4" x14ac:dyDescent="0.2">
      <c r="D270">
        <v>300240</v>
      </c>
    </row>
    <row r="271" spans="4:4" x14ac:dyDescent="0.2">
      <c r="D271">
        <v>300240</v>
      </c>
    </row>
    <row r="272" spans="4:4" x14ac:dyDescent="0.2">
      <c r="D272">
        <v>300240</v>
      </c>
    </row>
    <row r="273" spans="4:4" x14ac:dyDescent="0.2">
      <c r="D273">
        <v>241080</v>
      </c>
    </row>
    <row r="274" spans="4:4" x14ac:dyDescent="0.2">
      <c r="D274">
        <v>372050</v>
      </c>
    </row>
    <row r="275" spans="4:4" x14ac:dyDescent="0.2">
      <c r="D275">
        <v>372050</v>
      </c>
    </row>
    <row r="276" spans="4:4" x14ac:dyDescent="0.2">
      <c r="D276">
        <v>312160</v>
      </c>
    </row>
    <row r="277" spans="4:4" x14ac:dyDescent="0.2">
      <c r="D277">
        <v>221250</v>
      </c>
    </row>
    <row r="278" spans="4:4" x14ac:dyDescent="0.2">
      <c r="D278">
        <v>221250</v>
      </c>
    </row>
    <row r="279" spans="4:4" x14ac:dyDescent="0.2">
      <c r="D279" s="6">
        <v>352080</v>
      </c>
    </row>
    <row r="280" spans="4:4" x14ac:dyDescent="0.2">
      <c r="D280">
        <v>352080</v>
      </c>
    </row>
    <row r="281" spans="4:4" x14ac:dyDescent="0.2">
      <c r="D281">
        <v>312130</v>
      </c>
    </row>
    <row r="282" spans="4:4" x14ac:dyDescent="0.2">
      <c r="D282">
        <v>282100</v>
      </c>
    </row>
    <row r="283" spans="4:4" x14ac:dyDescent="0.2">
      <c r="D283">
        <v>355838</v>
      </c>
    </row>
    <row r="284" spans="4:4" x14ac:dyDescent="0.2">
      <c r="D284">
        <v>300170</v>
      </c>
    </row>
    <row r="285" spans="4:4" x14ac:dyDescent="0.2">
      <c r="D285">
        <v>312070</v>
      </c>
    </row>
    <row r="286" spans="4:4" x14ac:dyDescent="0.2">
      <c r="D286">
        <v>211020</v>
      </c>
    </row>
    <row r="287" spans="4:4" x14ac:dyDescent="0.2">
      <c r="D287">
        <v>311340</v>
      </c>
    </row>
    <row r="288" spans="4:4" x14ac:dyDescent="0.2">
      <c r="D288">
        <v>353020</v>
      </c>
    </row>
    <row r="289" spans="4:4" x14ac:dyDescent="0.2">
      <c r="D289">
        <v>325010</v>
      </c>
    </row>
    <row r="290" spans="4:4" x14ac:dyDescent="0.2">
      <c r="D290">
        <v>325010</v>
      </c>
    </row>
    <row r="291" spans="4:4" x14ac:dyDescent="0.2">
      <c r="D291">
        <v>325010</v>
      </c>
    </row>
    <row r="292" spans="4:4" x14ac:dyDescent="0.2">
      <c r="D292">
        <v>325010</v>
      </c>
    </row>
    <row r="293" spans="4:4" x14ac:dyDescent="0.2">
      <c r="D293">
        <v>325010</v>
      </c>
    </row>
    <row r="294" spans="4:4" x14ac:dyDescent="0.2">
      <c r="D294">
        <v>311210</v>
      </c>
    </row>
  </sheetData>
  <autoFilter ref="A1:D294" xr:uid="{DA7D1933-FA24-3F45-B06A-9D299FCD97C0}">
    <sortState xmlns:xlrd2="http://schemas.microsoft.com/office/spreadsheetml/2017/richdata2" ref="A2:D294">
      <sortCondition descending="1" ref="C1:C2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A324-537C-0C4C-B7CC-8A48841BA835}">
  <dimension ref="A1:D11"/>
  <sheetViews>
    <sheetView workbookViewId="0">
      <selection activeCell="D11" sqref="A1:D11"/>
    </sheetView>
  </sheetViews>
  <sheetFormatPr baseColWidth="10" defaultRowHeight="16" x14ac:dyDescent="0.2"/>
  <cols>
    <col min="2" max="2" width="14.1640625" customWidth="1"/>
    <col min="3" max="3" width="12.83203125" customWidth="1"/>
  </cols>
  <sheetData>
    <row r="1" spans="1:4" x14ac:dyDescent="0.2">
      <c r="A1" t="s">
        <v>555</v>
      </c>
      <c r="B1" t="s">
        <v>248</v>
      </c>
      <c r="C1" t="s">
        <v>562</v>
      </c>
      <c r="D1" t="s">
        <v>557</v>
      </c>
    </row>
    <row r="2" spans="1:4" x14ac:dyDescent="0.2">
      <c r="A2">
        <f ca="1">RAND()</f>
        <v>0.36482461980483061</v>
      </c>
      <c r="B2">
        <f t="shared" ref="B2:C11" ca="1" si="0">RAND()</f>
        <v>0.2985006771015305</v>
      </c>
      <c r="C2">
        <f t="shared" ca="1" si="0"/>
        <v>0.20771652274587149</v>
      </c>
      <c r="D2">
        <v>1</v>
      </c>
    </row>
    <row r="3" spans="1:4" x14ac:dyDescent="0.2">
      <c r="A3">
        <f t="shared" ref="A3:A11" ca="1" si="1">RAND()</f>
        <v>0.58513987641454146</v>
      </c>
      <c r="B3">
        <f t="shared" ca="1" si="0"/>
        <v>0.73210167002035265</v>
      </c>
      <c r="C3">
        <f t="shared" ca="1" si="0"/>
        <v>0.6446741372286745</v>
      </c>
      <c r="D3">
        <v>2</v>
      </c>
    </row>
    <row r="4" spans="1:4" x14ac:dyDescent="0.2">
      <c r="A4">
        <f t="shared" ca="1" si="1"/>
        <v>0.79276063469055014</v>
      </c>
      <c r="B4">
        <f t="shared" ca="1" si="0"/>
        <v>0.10537193433876124</v>
      </c>
      <c r="C4">
        <f t="shared" ca="1" si="0"/>
        <v>0.40748620510774036</v>
      </c>
      <c r="D4">
        <v>3</v>
      </c>
    </row>
    <row r="5" spans="1:4" x14ac:dyDescent="0.2">
      <c r="A5">
        <f t="shared" ca="1" si="1"/>
        <v>0.70007307194016655</v>
      </c>
      <c r="B5">
        <f t="shared" ca="1" si="0"/>
        <v>0.30378905700354308</v>
      </c>
      <c r="C5">
        <f t="shared" ca="1" si="0"/>
        <v>8.52262695435968E-3</v>
      </c>
      <c r="D5">
        <v>4</v>
      </c>
    </row>
    <row r="6" spans="1:4" x14ac:dyDescent="0.2">
      <c r="A6">
        <f t="shared" ca="1" si="1"/>
        <v>0.10803908107005322</v>
      </c>
      <c r="B6">
        <f t="shared" ca="1" si="0"/>
        <v>0.2720113516339564</v>
      </c>
      <c r="C6">
        <f t="shared" ca="1" si="0"/>
        <v>0.35643391398795699</v>
      </c>
      <c r="D6">
        <v>5</v>
      </c>
    </row>
    <row r="7" spans="1:4" x14ac:dyDescent="0.2">
      <c r="A7">
        <f t="shared" ca="1" si="1"/>
        <v>7.5064557654965891E-2</v>
      </c>
      <c r="B7">
        <f t="shared" ca="1" si="0"/>
        <v>0.7909901435099399</v>
      </c>
      <c r="C7">
        <f t="shared" ca="1" si="0"/>
        <v>0.77423321355391728</v>
      </c>
      <c r="D7">
        <v>6</v>
      </c>
    </row>
    <row r="8" spans="1:4" x14ac:dyDescent="0.2">
      <c r="A8">
        <f t="shared" ca="1" si="1"/>
        <v>0.7341571830610587</v>
      </c>
      <c r="B8">
        <f t="shared" ca="1" si="0"/>
        <v>2.3719095735286189E-6</v>
      </c>
      <c r="C8">
        <f t="shared" ca="1" si="0"/>
        <v>1.9860193155085692E-4</v>
      </c>
      <c r="D8">
        <v>7</v>
      </c>
    </row>
    <row r="9" spans="1:4" x14ac:dyDescent="0.2">
      <c r="A9">
        <f t="shared" ca="1" si="1"/>
        <v>0.448261130440051</v>
      </c>
      <c r="B9">
        <f t="shared" ca="1" si="0"/>
        <v>0.32712432347873788</v>
      </c>
      <c r="C9">
        <f t="shared" ca="1" si="0"/>
        <v>0.41388471057193232</v>
      </c>
      <c r="D9">
        <v>8</v>
      </c>
    </row>
    <row r="10" spans="1:4" x14ac:dyDescent="0.2">
      <c r="A10">
        <f t="shared" ca="1" si="1"/>
        <v>0.52406408774316249</v>
      </c>
      <c r="B10">
        <f t="shared" ca="1" si="0"/>
        <v>9.9925822392933017E-2</v>
      </c>
      <c r="C10">
        <f t="shared" ca="1" si="0"/>
        <v>0.49017735074395863</v>
      </c>
      <c r="D10">
        <v>9</v>
      </c>
    </row>
    <row r="11" spans="1:4" x14ac:dyDescent="0.2">
      <c r="A11">
        <f t="shared" ca="1" si="1"/>
        <v>0.2390945815188481</v>
      </c>
      <c r="B11">
        <f t="shared" ca="1" si="0"/>
        <v>0.44533369808333201</v>
      </c>
      <c r="C11">
        <f t="shared" ca="1" si="0"/>
        <v>0.95521468181892366</v>
      </c>
      <c r="D1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VolcanoSA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Ben Ireland</cp:lastModifiedBy>
  <dcterms:created xsi:type="dcterms:W3CDTF">2022-09-27T14:50:44Z</dcterms:created>
  <dcterms:modified xsi:type="dcterms:W3CDTF">2025-11-13T15:39:25Z</dcterms:modified>
</cp:coreProperties>
</file>