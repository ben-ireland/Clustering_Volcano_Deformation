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Papers/Clustering_Paper/OpenData/Deformation_Catalogues/"/>
    </mc:Choice>
  </mc:AlternateContent>
  <xr:revisionPtr revIDLastSave="25" documentId="8_{BC7A8747-51E9-994E-8493-185DC8A2AC69}" xr6:coauthVersionLast="47" xr6:coauthVersionMax="47" xr10:uidLastSave="{5922D730-D335-1942-8039-E98F8DBCB6F9}"/>
  <bookViews>
    <workbookView xWindow="-38400" yWindow="-420" windowWidth="38400" windowHeight="20200" activeTab="2" xr2:uid="{41D3FCDF-49CD-A947-AB73-7191B0E90473}"/>
  </bookViews>
  <sheets>
    <sheet name="Cropped_FullDataset" sheetId="2" r:id="rId1"/>
    <sheet name="Cropped_FullDataset_No_Duplicat" sheetId="11" r:id="rId2"/>
    <sheet name="Clusters_MyClassification" sheetId="12" r:id="rId3"/>
    <sheet name="Cluster1_Events" sheetId="13" r:id="rId4"/>
    <sheet name="Cluster4_Events" sheetId="14" r:id="rId5"/>
  </sheets>
  <definedNames>
    <definedName name="_xlnm._FilterDatabase" localSheetId="3" hidden="1">Cluster1_Events!$A$1:$N$46</definedName>
    <definedName name="_xlnm._FilterDatabase" localSheetId="4" hidden="1">Cluster4_Events!$A$1:$N$43</definedName>
    <definedName name="_xlnm._FilterDatabase" localSheetId="2" hidden="1">Clusters_MyClassification!$A$1:$K$138</definedName>
    <definedName name="_xlnm._FilterDatabase" localSheetId="1" hidden="1">Cropped_FullDataset_No_Duplicat!$A$1:$AG$138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2" l="1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2" i="2"/>
</calcChain>
</file>

<file path=xl/sharedStrings.xml><?xml version="1.0" encoding="utf-8"?>
<sst xmlns="http://schemas.openxmlformats.org/spreadsheetml/2006/main" count="5335" uniqueCount="478">
  <si>
    <t>Volcano Number (GVP)</t>
  </si>
  <si>
    <t>Volcano</t>
  </si>
  <si>
    <t>Rate (cm/yr)</t>
  </si>
  <si>
    <t>Start date</t>
  </si>
  <si>
    <t>End date</t>
  </si>
  <si>
    <t>Duration (year)</t>
  </si>
  <si>
    <t>Trend</t>
  </si>
  <si>
    <t>Offset (km)</t>
  </si>
  <si>
    <t>Major axis size (km)</t>
  </si>
  <si>
    <t>Minor axis size (km)</t>
  </si>
  <si>
    <t>Area (km2)</t>
  </si>
  <si>
    <t>Aspect ratio</t>
  </si>
  <si>
    <t>Source depth min (km)</t>
  </si>
  <si>
    <t>Source depth max (km)</t>
  </si>
  <si>
    <t>Max abs displacement (cm)</t>
  </si>
  <si>
    <t>Offset</t>
  </si>
  <si>
    <t>Eruption?</t>
  </si>
  <si>
    <t>Eruption type of volcano (most recent or associated)</t>
  </si>
  <si>
    <t>Location</t>
  </si>
  <si>
    <t>VolcanoType</t>
  </si>
  <si>
    <t>Tectonicsetting</t>
  </si>
  <si>
    <t>Majorrocktype</t>
  </si>
  <si>
    <t>Type of rate (mean, max, estimated)</t>
  </si>
  <si>
    <t>Direction (modified)</t>
  </si>
  <si>
    <t>Direction (original)</t>
  </si>
  <si>
    <t>Source of deformation</t>
  </si>
  <si>
    <t>Velocity (cm/yr)</t>
  </si>
  <si>
    <t>Max displacement (cm)</t>
  </si>
  <si>
    <t>Absolute rate</t>
  </si>
  <si>
    <t>Event</t>
  </si>
  <si>
    <t>Original Database</t>
  </si>
  <si>
    <t>Notes</t>
  </si>
  <si>
    <t>Aira (Sakurajima)</t>
  </si>
  <si>
    <t>Caldera</t>
  </si>
  <si>
    <t>Subduction zone / Continental crust (&gt;25 km)</t>
  </si>
  <si>
    <t>Andesite / Basaltic Andesite</t>
  </si>
  <si>
    <t>Estimated</t>
  </si>
  <si>
    <t>uplift</t>
  </si>
  <si>
    <t>magma (non-eruption)</t>
  </si>
  <si>
    <t>Aira (Sakurajima):Jun 2006-Mar 2011</t>
  </si>
  <si>
    <t>Biggs Supp</t>
  </si>
  <si>
    <t>Offset and area for Biggs Supp come from Ebmieier et al 2018</t>
  </si>
  <si>
    <t>Aira (Sakurajima):1995-1998</t>
  </si>
  <si>
    <t>Akutan</t>
  </si>
  <si>
    <t>Alaska</t>
  </si>
  <si>
    <t>Stratovolcano</t>
  </si>
  <si>
    <t>Subduction zone / Intermediate crust (15-25 km)</t>
  </si>
  <si>
    <t>Basalt / Picro-Basalt</t>
  </si>
  <si>
    <t>Unspecified</t>
  </si>
  <si>
    <t>Akutan:1992-2009</t>
  </si>
  <si>
    <t>Subsidence</t>
  </si>
  <si>
    <t>subsidence</t>
  </si>
  <si>
    <t>hydrothermal</t>
  </si>
  <si>
    <t>Multiple</t>
  </si>
  <si>
    <t>uplift; subsidence</t>
  </si>
  <si>
    <t>Alban Hills</t>
  </si>
  <si>
    <t>Foidite</t>
  </si>
  <si>
    <t>Alban Hills:1993-2000</t>
  </si>
  <si>
    <t>Alcedo</t>
  </si>
  <si>
    <t>South America</t>
  </si>
  <si>
    <t>Shield</t>
  </si>
  <si>
    <t>Rift zone / Oceanic crust (&lt; 15 km)</t>
  </si>
  <si>
    <t>Alcedo:1997-2001</t>
  </si>
  <si>
    <t>Alu</t>
  </si>
  <si>
    <t>Fissure vent(s)</t>
  </si>
  <si>
    <t>Rift zone / Intermediate crust (15-25 km)</t>
  </si>
  <si>
    <t>Alu:19 Nov 2008-1 Sept 2010</t>
  </si>
  <si>
    <t>Africa and Red Sea</t>
  </si>
  <si>
    <t>Rift zone / Continental crust (&gt;25 km)</t>
  </si>
  <si>
    <t>Rhyolite</t>
  </si>
  <si>
    <t>Alutu</t>
  </si>
  <si>
    <t>magma (non-eruption); hydrothermal</t>
  </si>
  <si>
    <t>Alutu:22 Sep 2004-5 Mar 2008</t>
  </si>
  <si>
    <t>Alutu:14 Jan 2009-28 Jul 2010</t>
  </si>
  <si>
    <t>Alutu:14 May 2008-1 Dec 2008</t>
  </si>
  <si>
    <t>Alutu:17 Dec 2003-18 Sep 2004</t>
  </si>
  <si>
    <t>Amukta</t>
  </si>
  <si>
    <t>surface deposits</t>
  </si>
  <si>
    <t>Amukta:1993-2009</t>
  </si>
  <si>
    <t>Aniakchak</t>
  </si>
  <si>
    <t>Aniakchak:1992-2010</t>
  </si>
  <si>
    <t>México and Central America</t>
  </si>
  <si>
    <t>Complex</t>
  </si>
  <si>
    <t>Askja</t>
  </si>
  <si>
    <t>Iceland and Arctic Ocean</t>
  </si>
  <si>
    <t>Askja:2000-2009</t>
  </si>
  <si>
    <t>Atka</t>
  </si>
  <si>
    <t>Stratovolcano(es)</t>
  </si>
  <si>
    <t>Atka:2004-2005</t>
  </si>
  <si>
    <t>Atka:1997-1998</t>
  </si>
  <si>
    <t>Atka:1998-1999</t>
  </si>
  <si>
    <t>Atka:1999-2000</t>
  </si>
  <si>
    <t>Atka:2003-2004</t>
  </si>
  <si>
    <t>magma</t>
  </si>
  <si>
    <t>Atka:Jun 2006-Nov 2006</t>
  </si>
  <si>
    <t>Augustine</t>
  </si>
  <si>
    <t>Lava dome(s)</t>
  </si>
  <si>
    <t>Augustine:1992-2005</t>
  </si>
  <si>
    <t>magma (eruption)</t>
  </si>
  <si>
    <t>Augustine:Sept 2005-Jan 2006</t>
  </si>
  <si>
    <t>Azul, Cerro</t>
  </si>
  <si>
    <t>Azul, Cerro:July 1992-Oct 1997</t>
  </si>
  <si>
    <t>Bardarbunga</t>
  </si>
  <si>
    <t>caldera collapse</t>
  </si>
  <si>
    <t>Bardarbunga:16 Aug 2014-17 Oct 2014</t>
  </si>
  <si>
    <t>Bora-Bericcio</t>
  </si>
  <si>
    <t>Pyroclastic cone(s)</t>
  </si>
  <si>
    <t>Bora-Bericcio:26 Dec 2007-28 Jul 2010</t>
  </si>
  <si>
    <t>Campi Flegrei</t>
  </si>
  <si>
    <t>Trachyte / Trachydacite</t>
  </si>
  <si>
    <t>Campi Flegrei:Jun 1992-Dec 1999</t>
  </si>
  <si>
    <t>Campi Flegrei:2004-2006</t>
  </si>
  <si>
    <t>Mediterranean and Western Asia</t>
  </si>
  <si>
    <t>Campi Flegrei:2010-2013</t>
  </si>
  <si>
    <t>Biggs supp</t>
  </si>
  <si>
    <t>Campi Flegrei:Mar 2000-Aug 2000</t>
  </si>
  <si>
    <t>Changbaishan</t>
  </si>
  <si>
    <t>Intraplate / Continental crust (&gt;25 km)</t>
  </si>
  <si>
    <t>Uplift</t>
  </si>
  <si>
    <t>Changbaishan:Aug 2006-Aug 2008</t>
  </si>
  <si>
    <t>Colima</t>
  </si>
  <si>
    <t>subsidence; uplift</t>
  </si>
  <si>
    <t>Colima:26 Dec 2012-6 Jan 2013</t>
  </si>
  <si>
    <t>Copahue</t>
  </si>
  <si>
    <t>Trachybasalt / Tephrite Basanite</t>
  </si>
  <si>
    <t>Copahue:2002-2008</t>
  </si>
  <si>
    <t>Corbetti Caldera</t>
  </si>
  <si>
    <t>Corbetti Caldera:1997-2000</t>
  </si>
  <si>
    <t>Corbetti Caldera:2009-2009</t>
  </si>
  <si>
    <t>Cordón de Puntas Negras</t>
  </si>
  <si>
    <t>Cordón de Puntas Negras:1992-2003</t>
  </si>
  <si>
    <t>Cordón de Puntas Negras:2003-2010</t>
  </si>
  <si>
    <t>Cordón del Azufre (Lazufre)</t>
  </si>
  <si>
    <t>Cordón del Azufre (Lazufre):1998-2011</t>
  </si>
  <si>
    <t>Coso Volcanic Field</t>
  </si>
  <si>
    <t>Canada and Western USA</t>
  </si>
  <si>
    <t>magma (non-eruption); anthropogenic</t>
  </si>
  <si>
    <t>Coso Volcanic Field:1992-1997</t>
  </si>
  <si>
    <t>Dabbahu</t>
  </si>
  <si>
    <t>Dabbahu:16 Apr 2004-6 May 2005</t>
  </si>
  <si>
    <t>Dabbahu:Sep 2005-Sep 2005</t>
  </si>
  <si>
    <t>Dalaffilla</t>
  </si>
  <si>
    <t>Dalaffilla:19 Nov 2008-1 Sept 2010</t>
  </si>
  <si>
    <t>Dallol</t>
  </si>
  <si>
    <t>Explosion crater(s)</t>
  </si>
  <si>
    <t>No Data (checked)</t>
  </si>
  <si>
    <t>Dallol:22 Sep 2004-1 Dec 2004</t>
  </si>
  <si>
    <t>Darwin</t>
  </si>
  <si>
    <t>Darwin:1992-1998</t>
  </si>
  <si>
    <t>Emmons Lake</t>
  </si>
  <si>
    <t>Emmons Lake:1993-2009</t>
  </si>
  <si>
    <t>Etna</t>
  </si>
  <si>
    <t>Etna:1993-2000</t>
  </si>
  <si>
    <t>Etna:2001-2005</t>
  </si>
  <si>
    <t>Eyjafjallajokull</t>
  </si>
  <si>
    <t>Eyjafjallajokull:3 Aug 1993-6 Jun 1995</t>
  </si>
  <si>
    <t>Eyjafjallajokull:19 Jul 1999-May 2000</t>
  </si>
  <si>
    <t>Fernandina</t>
  </si>
  <si>
    <t>Fernandina:2003-2005</t>
  </si>
  <si>
    <t>Fernandina:12 Sep 1992-30 Sep 1997</t>
  </si>
  <si>
    <t>Fernandina:2005-2006</t>
  </si>
  <si>
    <t>Fisher</t>
  </si>
  <si>
    <t>Fisher:1992-2010</t>
  </si>
  <si>
    <t>Intraplate / Intermediate crust (15-25 km)</t>
  </si>
  <si>
    <t>Intraplate / Oceanic crust (&lt; 15 km)</t>
  </si>
  <si>
    <t>Fourpeaked</t>
  </si>
  <si>
    <t>Fourpeaked:2005-2010</t>
  </si>
  <si>
    <t>Gada Ale</t>
  </si>
  <si>
    <t>Gada Ale:Jun 1993-May 1996</t>
  </si>
  <si>
    <t>Galeras</t>
  </si>
  <si>
    <t>Galeras:4 Dec 2007-19 Jan 2008</t>
  </si>
  <si>
    <t>Hekla</t>
  </si>
  <si>
    <t>Hekla:1991-2000</t>
  </si>
  <si>
    <t>Hekla:2000-2008</t>
  </si>
  <si>
    <t>uplift; horizontal</t>
  </si>
  <si>
    <t>Hertali (Haledebi)</t>
  </si>
  <si>
    <t>Not on GVP</t>
  </si>
  <si>
    <t>Hertali (Haledebi):Feb 2008-Aug 2010</t>
  </si>
  <si>
    <t>Hertali (Haledebi):Jul 2007-Feb 2008</t>
  </si>
  <si>
    <t>Hierro</t>
  </si>
  <si>
    <t>Hierro:4 May 2011-8 Aug 2011</t>
  </si>
  <si>
    <t>Hierro:31 Aug 2011-30 Oct 2011</t>
  </si>
  <si>
    <t>Hrómundartindur</t>
  </si>
  <si>
    <t>Hrómundartindur:1993-1998</t>
  </si>
  <si>
    <t>Hudson, Cerro</t>
  </si>
  <si>
    <t>Hudson, Cerro:2004-2011</t>
  </si>
  <si>
    <t>Hudson, Cerro:1993-1998</t>
  </si>
  <si>
    <t>Subduction zone / Oceanic crust (&lt; 15 km)</t>
  </si>
  <si>
    <t>Inyo Craters</t>
  </si>
  <si>
    <t>Inyo Craters:1990-1996</t>
  </si>
  <si>
    <t>Inyo Craters:2002-2003</t>
  </si>
  <si>
    <t>Inyo Craters:2011-2014</t>
  </si>
  <si>
    <t>Inyo Craters:1997-1998</t>
  </si>
  <si>
    <t>Iwatesan</t>
  </si>
  <si>
    <t>Iwatesan:Apr 1998-Jul 1998</t>
  </si>
  <si>
    <t>Kiska</t>
  </si>
  <si>
    <t>Kiska:2006-2008</t>
  </si>
  <si>
    <t>Kiska:2005-2006</t>
  </si>
  <si>
    <t>Kiska:1999-2001</t>
  </si>
  <si>
    <t>Krafla</t>
  </si>
  <si>
    <t>Krafla:1993-1999</t>
  </si>
  <si>
    <t>Krafla:1992-1995</t>
  </si>
  <si>
    <t>Kupreanof</t>
  </si>
  <si>
    <t>Kupreanof:1992-2010</t>
  </si>
  <si>
    <t>Kupreanof:2002-2003</t>
  </si>
  <si>
    <t>Atlantic Ocean</t>
  </si>
  <si>
    <t>Lanzarote</t>
  </si>
  <si>
    <t>Lanzarote:1992-2000</t>
  </si>
  <si>
    <t>Lassen Volcanic Center</t>
  </si>
  <si>
    <t>Lassen Volcanic Center:1992-2010</t>
  </si>
  <si>
    <t>Lastarria</t>
  </si>
  <si>
    <t>Lastarria:2000-2008</t>
  </si>
  <si>
    <t>Lengai, Ol Doinyo and Gelai volcano</t>
  </si>
  <si>
    <t>Lengai, Ol Doinyo and Gelai volcano:Feb 2008-Nov 2008</t>
  </si>
  <si>
    <t>faulting; magma (eruption)</t>
  </si>
  <si>
    <t>Lengai, Ol Doinyo and Gelai volcano:14 Jul 2007-4 Aug 2007</t>
  </si>
  <si>
    <t>Longonot</t>
  </si>
  <si>
    <t>Longonot:28 Jun 2004-20 Mar 2006</t>
  </si>
  <si>
    <t>Mageik</t>
  </si>
  <si>
    <t>Mageik:1995-2010</t>
  </si>
  <si>
    <t>Makushin</t>
  </si>
  <si>
    <t>Makushin:Sep 1995-7 Aug 2000</t>
  </si>
  <si>
    <t>Makushin:2004-2009</t>
  </si>
  <si>
    <t>Mammoth Mountain</t>
  </si>
  <si>
    <t>Mammoth Mountain:1990-1996</t>
  </si>
  <si>
    <t>Mammoth Mountain:2002-2003</t>
  </si>
  <si>
    <t>Mammoth Mountain:2011-2014</t>
  </si>
  <si>
    <t>Mammoth Mountain:1997-1998</t>
  </si>
  <si>
    <t>Manda Hararo</t>
  </si>
  <si>
    <t>Shield(s)</t>
  </si>
  <si>
    <t>Manda Hararo:16 Apr 2004-6 May 2005</t>
  </si>
  <si>
    <t>Manda Hararo:Sep 2005-Sep 2005</t>
  </si>
  <si>
    <t>Dacite</t>
  </si>
  <si>
    <t>Maule, Laguna del</t>
  </si>
  <si>
    <t>Maule, Laguna del:2013-2014.83</t>
  </si>
  <si>
    <t>Maule, Laguna del:2007-2012</t>
  </si>
  <si>
    <t>Mauna Loa</t>
  </si>
  <si>
    <t>Mauna Loa:2002-2005</t>
  </si>
  <si>
    <t>Medicine Lake</t>
  </si>
  <si>
    <t>other</t>
  </si>
  <si>
    <t>Medicine Lake:1950-2011</t>
  </si>
  <si>
    <t>Menengai</t>
  </si>
  <si>
    <t>Menengai:1997-2000</t>
  </si>
  <si>
    <t>Nabro</t>
  </si>
  <si>
    <t>Nabro:Jul 2011-Oct 2012</t>
  </si>
  <si>
    <t>Negra, Sierra</t>
  </si>
  <si>
    <t>9/24/2005</t>
  </si>
  <si>
    <t>10/29/2005</t>
  </si>
  <si>
    <t>Negra, Sierra:9/24/2005-10/29/2005</t>
  </si>
  <si>
    <t>1/27/2005</t>
  </si>
  <si>
    <t>magma (non-eruption); faulting</t>
  </si>
  <si>
    <t>Negra, Sierra:2/12/2004-1/27/2005</t>
  </si>
  <si>
    <t>Nevado del Ruiz</t>
  </si>
  <si>
    <t>Nevado del Ruiz:2012-2015</t>
  </si>
  <si>
    <t>New Zealand to Fiji</t>
  </si>
  <si>
    <t>Okmok</t>
  </si>
  <si>
    <t>Okmok:1995-1996</t>
  </si>
  <si>
    <t>Okmok:2005-2006</t>
  </si>
  <si>
    <t>Okmok:2004-2005</t>
  </si>
  <si>
    <t>Okmok:1992-1995</t>
  </si>
  <si>
    <t>Okmok:2008-2014</t>
  </si>
  <si>
    <t>Okmok:Jun 2007-10 Jul 2008</t>
  </si>
  <si>
    <t>Okmok:1997-2004</t>
  </si>
  <si>
    <t>Okmok:Oct 2007-Jul 2008</t>
  </si>
  <si>
    <t>Puyehue-Cordón Caulle</t>
  </si>
  <si>
    <t>2 to 10</t>
  </si>
  <si>
    <t>magma (post-eruption)</t>
  </si>
  <si>
    <t>Puyehue-Cordón Caulle:2013-2015</t>
  </si>
  <si>
    <t>Puyehue-Cordón Caulle:2007-2009</t>
  </si>
  <si>
    <t>Puyehue-Cordón Caulle:3/9/2011-5/8/2011</t>
  </si>
  <si>
    <t>Puyehue-Cordón Caulle:2012-2013</t>
  </si>
  <si>
    <t>Robledo (Cerro Blanco)</t>
  </si>
  <si>
    <t>Robledo (Cerro Blanco):1992-2011</t>
  </si>
  <si>
    <t>Sabancaya (Hualca Hualca)</t>
  </si>
  <si>
    <t>Sabancaya (Hualca Hualca):1992-1997</t>
  </si>
  <si>
    <t>Santorini</t>
  </si>
  <si>
    <t>Santorini:Feb 2010-May 2010</t>
  </si>
  <si>
    <t>Santorini:2011-2012</t>
  </si>
  <si>
    <t>Seguam</t>
  </si>
  <si>
    <t>Seguam:Jul 2005-Jul 2007</t>
  </si>
  <si>
    <t>Seguam:Sep 2000-Jul 2005</t>
  </si>
  <si>
    <t>Seguam:Oct 1993-Nov 1998</t>
  </si>
  <si>
    <t>Seguam:Nov 1998-Sep 2000</t>
  </si>
  <si>
    <t>Seguam:Jan 1993-Oct 1993</t>
  </si>
  <si>
    <t>Silali</t>
  </si>
  <si>
    <t>Silali:2007-2010</t>
  </si>
  <si>
    <t>Sillajhuay</t>
  </si>
  <si>
    <t>Sillajhuay:2007-2009</t>
  </si>
  <si>
    <t>Socorro</t>
  </si>
  <si>
    <t>Socorro:1912-2006</t>
  </si>
  <si>
    <t>Soufrière Hills</t>
  </si>
  <si>
    <t>Soufrière Hills:4 Jul 1999-17 Oct 1999</t>
  </si>
  <si>
    <t>Soufrière Hills:2 Jun 2000-7 Jul 2000</t>
  </si>
  <si>
    <t>Spurr</t>
  </si>
  <si>
    <t>Spurr:2004-2005</t>
  </si>
  <si>
    <t>St. Helens</t>
  </si>
  <si>
    <t>St. Helens:1992-2004</t>
  </si>
  <si>
    <t>Suswa</t>
  </si>
  <si>
    <t>Phonolite</t>
  </si>
  <si>
    <t>Suswa:1997-2000</t>
  </si>
  <si>
    <t>Tanaga</t>
  </si>
  <si>
    <t>Tanaga:Oct 2005-Nov 2005</t>
  </si>
  <si>
    <t>Tenduruk Dagi</t>
  </si>
  <si>
    <t>Tenduruk Dagi:2003-2010</t>
  </si>
  <si>
    <t>Three Sisters</t>
  </si>
  <si>
    <t>Three Sisters:1996-2010</t>
  </si>
  <si>
    <t>Tongariro</t>
  </si>
  <si>
    <t>hydrothermal system</t>
  </si>
  <si>
    <t>Tongariro:21 November 2012-1 June 2015</t>
  </si>
  <si>
    <t>Torfajokull</t>
  </si>
  <si>
    <t>Torfajokull:1993-2000</t>
  </si>
  <si>
    <t>Torfajokull:2003-2007</t>
  </si>
  <si>
    <t>Tungurahua</t>
  </si>
  <si>
    <t>Tungurahua:2003-2009</t>
  </si>
  <si>
    <t>Tungurahua:27 Dec 2007-27 Mar 2008</t>
  </si>
  <si>
    <t>Ugashik-Peulik</t>
  </si>
  <si>
    <t>Ugashik-Peulik:1996-1998</t>
  </si>
  <si>
    <t>Uturuncu</t>
  </si>
  <si>
    <t>Uturuncu:1992-2011</t>
  </si>
  <si>
    <t>Uzon</t>
  </si>
  <si>
    <t>Caldera(s)</t>
  </si>
  <si>
    <t>Uzon:2 Sep 2000-18 Aug 2003</t>
  </si>
  <si>
    <t>Veniaminof</t>
  </si>
  <si>
    <t>Veniaminof:1992-2010</t>
  </si>
  <si>
    <t>Westdahl</t>
  </si>
  <si>
    <t>Westdahl:21 Nov 1991-30 Nov 1991</t>
  </si>
  <si>
    <t>Wolf</t>
  </si>
  <si>
    <t>Wolf:1992-1997</t>
  </si>
  <si>
    <t>Classification</t>
  </si>
  <si>
    <t>Restless calderas</t>
  </si>
  <si>
    <t>Long-term Restless calderas</t>
  </si>
  <si>
    <t>Rapid uplift</t>
  </si>
  <si>
    <t>Deformation following eruptions/intrusions</t>
  </si>
  <si>
    <t>Pulsed uplift</t>
  </si>
  <si>
    <t>Co-eruptive</t>
  </si>
  <si>
    <t>Deposit compaction</t>
  </si>
  <si>
    <t>Pore-pressure changes</t>
  </si>
  <si>
    <t>Caldera collapse</t>
  </si>
  <si>
    <t>Dyking episode</t>
  </si>
  <si>
    <t>Clust num</t>
  </si>
  <si>
    <t>DepthEst</t>
  </si>
  <si>
    <t>Rad</t>
  </si>
  <si>
    <t>VolcType</t>
  </si>
  <si>
    <t>Rock</t>
  </si>
  <si>
    <t>TS</t>
  </si>
  <si>
    <t>Source</t>
  </si>
  <si>
    <t>Class</t>
  </si>
  <si>
    <t>Erupt</t>
  </si>
  <si>
    <t>Intraplate</t>
  </si>
  <si>
    <t>Rift zone</t>
  </si>
  <si>
    <t xml:space="preserve">Subduction zone </t>
  </si>
  <si>
    <t>1995</t>
  </si>
  <si>
    <t>1998</t>
  </si>
  <si>
    <t>Jun 2006</t>
  </si>
  <si>
    <t>Mar 2011</t>
  </si>
  <si>
    <t>1992</t>
  </si>
  <si>
    <t>2009</t>
  </si>
  <si>
    <t>1993</t>
  </si>
  <si>
    <t>2000</t>
  </si>
  <si>
    <t>1997</t>
  </si>
  <si>
    <t>2001</t>
  </si>
  <si>
    <t>19 Nov 2008</t>
  </si>
  <si>
    <t>1 Sept 2010</t>
  </si>
  <si>
    <t>14 May 2008</t>
  </si>
  <si>
    <t>1 Dec 2008</t>
  </si>
  <si>
    <t>17 Dec 2003</t>
  </si>
  <si>
    <t>18 Sep 2004</t>
  </si>
  <si>
    <t>14 Jan 2009</t>
  </si>
  <si>
    <t>28 Jul 2010</t>
  </si>
  <si>
    <t>22 Sep 2004</t>
  </si>
  <si>
    <t>5 Mar 2008</t>
  </si>
  <si>
    <t>2010</t>
  </si>
  <si>
    <t>Nov 2006</t>
  </si>
  <si>
    <t>2004</t>
  </si>
  <si>
    <t>2005</t>
  </si>
  <si>
    <t>1999</t>
  </si>
  <si>
    <t>2003</t>
  </si>
  <si>
    <t>Sept 2005</t>
  </si>
  <si>
    <t>Jan 2006</t>
  </si>
  <si>
    <t>July 1992</t>
  </si>
  <si>
    <t>Oct 1997</t>
  </si>
  <si>
    <t>16 Aug 2014</t>
  </si>
  <si>
    <t>17 Oct 2014</t>
  </si>
  <si>
    <t>26 Dec 2007</t>
  </si>
  <si>
    <t>Mar 2000</t>
  </si>
  <si>
    <t>Aug 2000</t>
  </si>
  <si>
    <t>2006</t>
  </si>
  <si>
    <t>2013</t>
  </si>
  <si>
    <t>Jun 1992</t>
  </si>
  <si>
    <t>Dec 1999</t>
  </si>
  <si>
    <t>Aug 2006</t>
  </si>
  <si>
    <t>Aug 2008</t>
  </si>
  <si>
    <t>26 Dec 2012</t>
  </si>
  <si>
    <t>6 Jan 2013</t>
  </si>
  <si>
    <t>2002</t>
  </si>
  <si>
    <t>2008</t>
  </si>
  <si>
    <t>2011</t>
  </si>
  <si>
    <t>Sep 2005</t>
  </si>
  <si>
    <t>16 Apr 2004</t>
  </si>
  <si>
    <t>6 May 2005</t>
  </si>
  <si>
    <t>1 Dec 2004</t>
  </si>
  <si>
    <t>19 Jul 1999</t>
  </si>
  <si>
    <t>May 2000</t>
  </si>
  <si>
    <t>3 Aug 1993</t>
  </si>
  <si>
    <t>6 Jun 1995</t>
  </si>
  <si>
    <t>12 Sep 1992</t>
  </si>
  <si>
    <t>30 Sep 1997</t>
  </si>
  <si>
    <t>Jun 1993</t>
  </si>
  <si>
    <t>May 1996</t>
  </si>
  <si>
    <t>4 Dec 2007</t>
  </si>
  <si>
    <t>19 Jan 2008</t>
  </si>
  <si>
    <t>1991</t>
  </si>
  <si>
    <t>Jul 2007</t>
  </si>
  <si>
    <t>Feb 2008</t>
  </si>
  <si>
    <t>Aug 2010</t>
  </si>
  <si>
    <t>31 Aug 2011</t>
  </si>
  <si>
    <t>30 Oct 2011</t>
  </si>
  <si>
    <t>4 May 2011</t>
  </si>
  <si>
    <t>8 Aug 2011</t>
  </si>
  <si>
    <t>2014</t>
  </si>
  <si>
    <t>1990</t>
  </si>
  <si>
    <t>1996</t>
  </si>
  <si>
    <t>Apr 1998</t>
  </si>
  <si>
    <t>Jul 1998</t>
  </si>
  <si>
    <t>14 Jul 2007</t>
  </si>
  <si>
    <t>4 Aug 2007</t>
  </si>
  <si>
    <t>Nov 2008</t>
  </si>
  <si>
    <t>28 Jun 2004</t>
  </si>
  <si>
    <t>20 Mar 2006</t>
  </si>
  <si>
    <t>Sep 1995</t>
  </si>
  <si>
    <t>7 Aug 2000</t>
  </si>
  <si>
    <t>2007</t>
  </si>
  <si>
    <t>2012</t>
  </si>
  <si>
    <t>1950</t>
  </si>
  <si>
    <t>Jul 2011</t>
  </si>
  <si>
    <t>Oct 2012</t>
  </si>
  <si>
    <t>2/12/2004</t>
  </si>
  <si>
    <t>2015</t>
  </si>
  <si>
    <t>Oct 2007</t>
  </si>
  <si>
    <t>Jul 2008</t>
  </si>
  <si>
    <t>Jun 2007</t>
  </si>
  <si>
    <t>10 Jul 2008</t>
  </si>
  <si>
    <t>3/9/2011</t>
  </si>
  <si>
    <t>5/8/2011</t>
  </si>
  <si>
    <t>Feb 2010</t>
  </si>
  <si>
    <t>May 2010</t>
  </si>
  <si>
    <t>Jan 1993</t>
  </si>
  <si>
    <t>Oct 1993</t>
  </si>
  <si>
    <t>Nov 1998</t>
  </si>
  <si>
    <t>Sep 2000</t>
  </si>
  <si>
    <t>Jul 2005</t>
  </si>
  <si>
    <t>1912</t>
  </si>
  <si>
    <t>2 Jun 2000</t>
  </si>
  <si>
    <t>7 Jul 2000</t>
  </si>
  <si>
    <t>4 Jul 1999</t>
  </si>
  <si>
    <t>17 Oct 1999</t>
  </si>
  <si>
    <t>Oct 2005</t>
  </si>
  <si>
    <t>Nov 2005</t>
  </si>
  <si>
    <t>21 November 2012</t>
  </si>
  <si>
    <t>1 June 2015</t>
  </si>
  <si>
    <t>27 Dec 2007</t>
  </si>
  <si>
    <t>27 Mar 2008</t>
  </si>
  <si>
    <t>2 Sep 2000</t>
  </si>
  <si>
    <t>18 Aug 2003</t>
  </si>
  <si>
    <t>21 Nov 1991</t>
  </si>
  <si>
    <t>30 Nov 1991</t>
  </si>
  <si>
    <t>Clusts</t>
  </si>
  <si>
    <t>Gradual intrusion</t>
  </si>
  <si>
    <t>Post-eruption</t>
  </si>
  <si>
    <t>Discrete intrusion</t>
  </si>
  <si>
    <t>Surface deposits</t>
  </si>
  <si>
    <t>Long-term processes</t>
  </si>
  <si>
    <t>Contracting intrusion</t>
  </si>
  <si>
    <t>Crust</t>
  </si>
  <si>
    <t>Continental crust (&gt;25 km)</t>
  </si>
  <si>
    <t>Intermediate crust (15-25 km)</t>
  </si>
  <si>
    <t>Oceanic crust (&lt; 15 km)</t>
  </si>
  <si>
    <t>Subduction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</si>
</sst>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7" fontId="0" fillId="0" borderId="0" xfId="0" applyNumberFormat="1"/>
    <xf numFmtId="15" fontId="0" fillId="0" borderId="0" xfId="0" applyNumberFormat="1"/>
    <xf numFmtId="14" fontId="0" fillId="0" borderId="0" xfId="0" applyNumberFormat="1"/>
    <xf numFmtId="0" fontId="18" fillId="0" borderId="0" xfId="0" applyFont="1"/>
    <xf numFmtId="0" fontId="19" fillId="0" borderId="0" xfId="0" applyFont="1" applyAlignment="1">
      <alignment wrapText="1"/>
    </xf>
    <xf numFmtId="49" fontId="20" fillId="0" borderId="0" xfId="0" applyNumberFormat="1" applyFont="1"/>
    <xf numFmtId="0" fontId="20" fillId="0" borderId="0" xfId="0" applyFont="1"/>
    <xf numFmtId="0" fontId="20" fillId="0" borderId="0" xfId="0" applyFont="1" applyAlignment="1">
      <alignment wrapText="1"/>
    </xf>
    <xf numFmtId="0" fontId="16" fillId="0" borderId="0" xfId="0" applyFont="1"/>
    <xf numFmtId="49" fontId="16" fillId="0" borderId="0" xfId="0" applyNumberFormat="1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AE23-F744-CC47-B707-D0FE32CEEFBF}">
  <sheetPr codeName="Sheet2"/>
  <dimension ref="A1:AJ144"/>
  <sheetViews>
    <sheetView topLeftCell="A51" workbookViewId="0">
      <selection activeCell="F21" sqref="F21"/>
    </sheetView>
  </sheetViews>
  <sheetFormatPr baseColWidth="10" defaultRowHeight="16" x14ac:dyDescent="0.2"/>
  <cols>
    <col min="1" max="1" width="11" customWidth="1"/>
    <col min="32" max="32" width="21.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I1" t="s">
        <v>340</v>
      </c>
      <c r="AJ1" t="s">
        <v>341</v>
      </c>
    </row>
    <row r="2" spans="1:36" x14ac:dyDescent="0.2">
      <c r="A2">
        <v>282080</v>
      </c>
      <c r="B2" t="s">
        <v>32</v>
      </c>
      <c r="C2">
        <v>0.32</v>
      </c>
      <c r="D2" s="1">
        <v>38869</v>
      </c>
      <c r="E2" s="1">
        <v>40603</v>
      </c>
      <c r="F2">
        <v>4.7506849320000004</v>
      </c>
      <c r="I2">
        <v>30</v>
      </c>
      <c r="K2">
        <v>707</v>
      </c>
      <c r="L2">
        <v>1</v>
      </c>
      <c r="M2">
        <v>5</v>
      </c>
      <c r="N2">
        <v>9</v>
      </c>
      <c r="O2">
        <v>1.5</v>
      </c>
      <c r="Q2">
        <v>1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37</v>
      </c>
      <c r="Z2" t="s">
        <v>38</v>
      </c>
      <c r="AA2">
        <v>0.32</v>
      </c>
      <c r="AB2">
        <v>1.5</v>
      </c>
      <c r="AC2">
        <v>0.31574394500000003</v>
      </c>
      <c r="AD2" t="s">
        <v>39</v>
      </c>
      <c r="AE2" t="s">
        <v>40</v>
      </c>
      <c r="AF2" t="s">
        <v>41</v>
      </c>
      <c r="AI2">
        <f>AVERAGE(M2,N2)</f>
        <v>7</v>
      </c>
      <c r="AJ2">
        <f>SQRT(K2)</f>
        <v>26.589471600616662</v>
      </c>
    </row>
    <row r="3" spans="1:36" x14ac:dyDescent="0.2">
      <c r="A3">
        <v>282080</v>
      </c>
      <c r="B3" t="s">
        <v>32</v>
      </c>
      <c r="C3">
        <v>0.67</v>
      </c>
      <c r="D3">
        <v>1995</v>
      </c>
      <c r="E3">
        <v>1998</v>
      </c>
      <c r="F3">
        <v>3</v>
      </c>
      <c r="I3">
        <v>30</v>
      </c>
      <c r="K3">
        <v>707</v>
      </c>
      <c r="L3">
        <v>1</v>
      </c>
      <c r="M3">
        <v>5</v>
      </c>
      <c r="N3">
        <v>9</v>
      </c>
      <c r="O3">
        <v>2</v>
      </c>
      <c r="Q3">
        <v>1</v>
      </c>
      <c r="T3" t="s">
        <v>33</v>
      </c>
      <c r="U3" t="s">
        <v>34</v>
      </c>
      <c r="V3" t="s">
        <v>35</v>
      </c>
      <c r="W3" t="s">
        <v>36</v>
      </c>
      <c r="X3" t="s">
        <v>37</v>
      </c>
      <c r="Y3" t="s">
        <v>37</v>
      </c>
      <c r="Z3" t="s">
        <v>38</v>
      </c>
      <c r="AA3">
        <v>0.67</v>
      </c>
      <c r="AB3">
        <v>2</v>
      </c>
      <c r="AC3">
        <v>0.66666666699999999</v>
      </c>
      <c r="AD3" t="s">
        <v>42</v>
      </c>
      <c r="AE3" t="s">
        <v>40</v>
      </c>
      <c r="AF3" t="s">
        <v>41</v>
      </c>
      <c r="AI3">
        <f t="shared" ref="AI3:AI66" si="0">AVERAGE(M3,N3)</f>
        <v>7</v>
      </c>
      <c r="AJ3">
        <f t="shared" ref="AJ3:AJ66" si="1">SQRT(K3)</f>
        <v>26.589471600616662</v>
      </c>
    </row>
    <row r="4" spans="1:36" x14ac:dyDescent="0.2">
      <c r="A4">
        <v>311320</v>
      </c>
      <c r="B4" t="s">
        <v>43</v>
      </c>
      <c r="C4">
        <v>1</v>
      </c>
      <c r="D4">
        <v>1992</v>
      </c>
      <c r="E4">
        <v>2009</v>
      </c>
      <c r="F4">
        <v>17</v>
      </c>
      <c r="I4">
        <v>8</v>
      </c>
      <c r="J4">
        <v>5</v>
      </c>
      <c r="K4">
        <v>31</v>
      </c>
      <c r="L4">
        <v>1.6</v>
      </c>
      <c r="M4">
        <v>5</v>
      </c>
      <c r="N4">
        <v>7</v>
      </c>
      <c r="O4">
        <v>17</v>
      </c>
      <c r="Q4">
        <v>1</v>
      </c>
      <c r="S4" t="s">
        <v>44</v>
      </c>
      <c r="T4" t="s">
        <v>45</v>
      </c>
      <c r="U4" t="s">
        <v>46</v>
      </c>
      <c r="V4" t="s">
        <v>47</v>
      </c>
      <c r="X4" t="s">
        <v>37</v>
      </c>
      <c r="Y4" t="s">
        <v>37</v>
      </c>
      <c r="Z4" t="s">
        <v>48</v>
      </c>
      <c r="AA4">
        <v>1</v>
      </c>
      <c r="AB4">
        <v>17</v>
      </c>
      <c r="AC4">
        <v>1</v>
      </c>
      <c r="AD4" t="s">
        <v>49</v>
      </c>
      <c r="AE4" t="s">
        <v>40</v>
      </c>
      <c r="AF4" t="s">
        <v>41</v>
      </c>
      <c r="AI4">
        <f t="shared" si="0"/>
        <v>6</v>
      </c>
      <c r="AJ4">
        <f t="shared" si="1"/>
        <v>5.5677643628300215</v>
      </c>
    </row>
    <row r="5" spans="1:36" x14ac:dyDescent="0.2">
      <c r="A5">
        <v>211004</v>
      </c>
      <c r="B5" t="s">
        <v>55</v>
      </c>
      <c r="C5">
        <v>3.7142857000000001E-2</v>
      </c>
      <c r="D5">
        <v>1993</v>
      </c>
      <c r="E5">
        <v>2000</v>
      </c>
      <c r="F5">
        <v>7</v>
      </c>
      <c r="I5">
        <v>40</v>
      </c>
      <c r="K5">
        <v>1257</v>
      </c>
      <c r="L5">
        <v>1</v>
      </c>
      <c r="M5">
        <v>4.5999999999999996</v>
      </c>
      <c r="N5">
        <v>4.5999999999999996</v>
      </c>
      <c r="O5">
        <v>0.26</v>
      </c>
      <c r="Q5">
        <v>1</v>
      </c>
      <c r="T5" t="s">
        <v>33</v>
      </c>
      <c r="U5" t="s">
        <v>34</v>
      </c>
      <c r="V5" t="s">
        <v>56</v>
      </c>
      <c r="W5" t="s">
        <v>36</v>
      </c>
      <c r="X5" t="s">
        <v>37</v>
      </c>
      <c r="Y5" t="s">
        <v>37</v>
      </c>
      <c r="AA5">
        <v>3.7142857000000001E-2</v>
      </c>
      <c r="AB5">
        <v>0.26</v>
      </c>
      <c r="AC5">
        <v>3.7142857000000001E-2</v>
      </c>
      <c r="AD5" t="s">
        <v>57</v>
      </c>
      <c r="AE5" t="s">
        <v>40</v>
      </c>
      <c r="AF5" t="s">
        <v>41</v>
      </c>
      <c r="AI5">
        <f t="shared" si="0"/>
        <v>4.5999999999999996</v>
      </c>
      <c r="AJ5">
        <f t="shared" si="1"/>
        <v>35.454195802471673</v>
      </c>
    </row>
    <row r="6" spans="1:36" x14ac:dyDescent="0.2">
      <c r="A6">
        <v>353040</v>
      </c>
      <c r="B6" t="s">
        <v>58</v>
      </c>
      <c r="C6">
        <v>3</v>
      </c>
      <c r="D6">
        <v>1997</v>
      </c>
      <c r="E6">
        <v>2001</v>
      </c>
      <c r="F6">
        <v>4</v>
      </c>
      <c r="I6">
        <v>6</v>
      </c>
      <c r="K6">
        <v>28</v>
      </c>
      <c r="L6">
        <v>1</v>
      </c>
      <c r="M6">
        <v>2.2000000000000002</v>
      </c>
      <c r="N6">
        <v>2.2000000000000002</v>
      </c>
      <c r="O6">
        <v>12</v>
      </c>
      <c r="Q6">
        <v>1</v>
      </c>
      <c r="S6" t="s">
        <v>59</v>
      </c>
      <c r="T6" t="s">
        <v>60</v>
      </c>
      <c r="U6" t="s">
        <v>61</v>
      </c>
      <c r="V6" t="s">
        <v>47</v>
      </c>
      <c r="X6" t="s">
        <v>50</v>
      </c>
      <c r="Y6" t="s">
        <v>51</v>
      </c>
      <c r="Z6" t="s">
        <v>38</v>
      </c>
      <c r="AA6">
        <v>-3</v>
      </c>
      <c r="AB6">
        <v>-12</v>
      </c>
      <c r="AC6">
        <v>3</v>
      </c>
      <c r="AD6" t="s">
        <v>62</v>
      </c>
      <c r="AE6" t="s">
        <v>40</v>
      </c>
      <c r="AF6" t="s">
        <v>41</v>
      </c>
      <c r="AI6">
        <f t="shared" si="0"/>
        <v>2.2000000000000002</v>
      </c>
      <c r="AJ6">
        <f t="shared" si="1"/>
        <v>5.2915026221291814</v>
      </c>
    </row>
    <row r="7" spans="1:36" x14ac:dyDescent="0.2">
      <c r="A7">
        <v>221060</v>
      </c>
      <c r="B7" t="s">
        <v>63</v>
      </c>
      <c r="C7">
        <v>50.46</v>
      </c>
      <c r="D7" s="2">
        <v>39771</v>
      </c>
      <c r="E7" s="2">
        <v>40422</v>
      </c>
      <c r="F7">
        <v>1.7835616439999999</v>
      </c>
      <c r="I7">
        <v>2</v>
      </c>
      <c r="K7">
        <v>3</v>
      </c>
      <c r="L7">
        <v>1.571428571</v>
      </c>
      <c r="M7">
        <v>1</v>
      </c>
      <c r="N7">
        <v>1</v>
      </c>
      <c r="O7">
        <v>90</v>
      </c>
      <c r="Q7">
        <v>2</v>
      </c>
      <c r="T7" t="s">
        <v>64</v>
      </c>
      <c r="U7" t="s">
        <v>65</v>
      </c>
      <c r="V7" t="s">
        <v>47</v>
      </c>
      <c r="W7" t="s">
        <v>36</v>
      </c>
      <c r="X7" t="s">
        <v>37</v>
      </c>
      <c r="Y7" t="s">
        <v>37</v>
      </c>
      <c r="AA7">
        <v>50.46</v>
      </c>
      <c r="AB7">
        <v>90</v>
      </c>
      <c r="AC7">
        <v>50.460829490000002</v>
      </c>
      <c r="AD7" t="s">
        <v>66</v>
      </c>
      <c r="AE7" t="s">
        <v>40</v>
      </c>
      <c r="AF7" t="s">
        <v>41</v>
      </c>
      <c r="AI7">
        <f t="shared" si="0"/>
        <v>1</v>
      </c>
      <c r="AJ7">
        <f t="shared" si="1"/>
        <v>1.7320508075688772</v>
      </c>
    </row>
    <row r="8" spans="1:36" x14ac:dyDescent="0.2">
      <c r="A8">
        <v>221270</v>
      </c>
      <c r="B8" t="s">
        <v>70</v>
      </c>
      <c r="C8">
        <v>1.3615079370000001</v>
      </c>
      <c r="D8" s="2">
        <v>38252</v>
      </c>
      <c r="E8" s="2">
        <v>39512</v>
      </c>
      <c r="F8">
        <v>3.452054795</v>
      </c>
      <c r="I8">
        <v>16</v>
      </c>
      <c r="K8">
        <v>201</v>
      </c>
      <c r="L8">
        <v>1</v>
      </c>
      <c r="M8">
        <v>2.5</v>
      </c>
      <c r="N8">
        <v>2.5</v>
      </c>
      <c r="O8">
        <v>4.7</v>
      </c>
      <c r="Q8">
        <v>1</v>
      </c>
      <c r="T8" t="s">
        <v>45</v>
      </c>
      <c r="U8" t="s">
        <v>68</v>
      </c>
      <c r="V8" t="s">
        <v>69</v>
      </c>
      <c r="W8" t="s">
        <v>36</v>
      </c>
      <c r="X8" t="s">
        <v>50</v>
      </c>
      <c r="Y8" t="s">
        <v>51</v>
      </c>
      <c r="Z8" t="s">
        <v>71</v>
      </c>
      <c r="AA8">
        <v>-1.36</v>
      </c>
      <c r="AB8">
        <v>-4.7</v>
      </c>
      <c r="AC8">
        <v>1.3615079370000001</v>
      </c>
      <c r="AD8" t="s">
        <v>72</v>
      </c>
      <c r="AE8" t="s">
        <v>40</v>
      </c>
      <c r="AF8" t="s">
        <v>41</v>
      </c>
      <c r="AI8">
        <f t="shared" si="0"/>
        <v>2.5</v>
      </c>
      <c r="AJ8">
        <f t="shared" si="1"/>
        <v>14.177446878757825</v>
      </c>
    </row>
    <row r="9" spans="1:36" x14ac:dyDescent="0.2">
      <c r="A9">
        <v>221270</v>
      </c>
      <c r="B9" t="s">
        <v>70</v>
      </c>
      <c r="C9">
        <v>2.802678571</v>
      </c>
      <c r="D9" s="2">
        <v>39827</v>
      </c>
      <c r="E9" s="2">
        <v>40387</v>
      </c>
      <c r="F9">
        <v>1.5342465750000001</v>
      </c>
      <c r="I9">
        <v>16</v>
      </c>
      <c r="K9">
        <v>201</v>
      </c>
      <c r="L9">
        <v>1</v>
      </c>
      <c r="M9">
        <v>2.5</v>
      </c>
      <c r="N9">
        <v>2.5</v>
      </c>
      <c r="O9">
        <v>4.3</v>
      </c>
      <c r="Q9">
        <v>1</v>
      </c>
      <c r="T9" t="s">
        <v>45</v>
      </c>
      <c r="U9" t="s">
        <v>68</v>
      </c>
      <c r="V9" t="s">
        <v>69</v>
      </c>
      <c r="W9" t="s">
        <v>36</v>
      </c>
      <c r="X9" t="s">
        <v>50</v>
      </c>
      <c r="Y9" t="s">
        <v>51</v>
      </c>
      <c r="Z9" t="s">
        <v>71</v>
      </c>
      <c r="AA9">
        <v>-2.8</v>
      </c>
      <c r="AB9">
        <v>-4.3</v>
      </c>
      <c r="AC9">
        <v>2.802678571</v>
      </c>
      <c r="AD9" t="s">
        <v>73</v>
      </c>
      <c r="AE9" t="s">
        <v>40</v>
      </c>
      <c r="AF9" t="s">
        <v>41</v>
      </c>
      <c r="AI9">
        <f t="shared" si="0"/>
        <v>2.5</v>
      </c>
      <c r="AJ9">
        <f t="shared" si="1"/>
        <v>14.177446878757825</v>
      </c>
    </row>
    <row r="10" spans="1:36" x14ac:dyDescent="0.2">
      <c r="A10">
        <v>221270</v>
      </c>
      <c r="B10" t="s">
        <v>70</v>
      </c>
      <c r="C10">
        <v>17.977611939999999</v>
      </c>
      <c r="D10" s="2">
        <v>39582</v>
      </c>
      <c r="E10" s="2">
        <v>39783</v>
      </c>
      <c r="F10">
        <v>0.55068493200000002</v>
      </c>
      <c r="I10">
        <v>16</v>
      </c>
      <c r="K10">
        <v>201</v>
      </c>
      <c r="L10">
        <v>1</v>
      </c>
      <c r="M10">
        <v>2.5</v>
      </c>
      <c r="N10">
        <v>2.5</v>
      </c>
      <c r="O10">
        <v>9.9</v>
      </c>
      <c r="Q10">
        <v>1</v>
      </c>
      <c r="T10" t="s">
        <v>45</v>
      </c>
      <c r="U10" t="s">
        <v>68</v>
      </c>
      <c r="V10" t="s">
        <v>69</v>
      </c>
      <c r="W10" t="s">
        <v>36</v>
      </c>
      <c r="X10" t="s">
        <v>37</v>
      </c>
      <c r="Y10" t="s">
        <v>37</v>
      </c>
      <c r="Z10" t="s">
        <v>71</v>
      </c>
      <c r="AA10">
        <v>17.977611939999999</v>
      </c>
      <c r="AB10">
        <v>9.9</v>
      </c>
      <c r="AC10">
        <v>17.977611939999999</v>
      </c>
      <c r="AD10" t="s">
        <v>74</v>
      </c>
      <c r="AE10" t="s">
        <v>40</v>
      </c>
      <c r="AF10" t="s">
        <v>41</v>
      </c>
      <c r="AI10">
        <f t="shared" si="0"/>
        <v>2.5</v>
      </c>
      <c r="AJ10">
        <f t="shared" si="1"/>
        <v>14.177446878757825</v>
      </c>
    </row>
    <row r="11" spans="1:36" x14ac:dyDescent="0.2">
      <c r="A11">
        <v>221270</v>
      </c>
      <c r="B11" t="s">
        <v>70</v>
      </c>
      <c r="C11">
        <v>19.836956520000001</v>
      </c>
      <c r="D11" s="2">
        <v>37972</v>
      </c>
      <c r="E11" s="2">
        <v>38248</v>
      </c>
      <c r="F11">
        <v>0.75616438399999997</v>
      </c>
      <c r="I11">
        <v>16</v>
      </c>
      <c r="K11">
        <v>201</v>
      </c>
      <c r="L11">
        <v>1</v>
      </c>
      <c r="M11">
        <v>2.5</v>
      </c>
      <c r="N11">
        <v>2.5</v>
      </c>
      <c r="O11">
        <v>15</v>
      </c>
      <c r="Q11">
        <v>1</v>
      </c>
      <c r="T11" t="s">
        <v>45</v>
      </c>
      <c r="U11" t="s">
        <v>68</v>
      </c>
      <c r="V11" t="s">
        <v>69</v>
      </c>
      <c r="W11" t="s">
        <v>36</v>
      </c>
      <c r="X11" t="s">
        <v>37</v>
      </c>
      <c r="Y11" t="s">
        <v>37</v>
      </c>
      <c r="Z11" t="s">
        <v>71</v>
      </c>
      <c r="AA11">
        <v>19.836956520000001</v>
      </c>
      <c r="AB11">
        <v>15</v>
      </c>
      <c r="AC11">
        <v>19.836956520000001</v>
      </c>
      <c r="AD11" t="s">
        <v>75</v>
      </c>
      <c r="AE11" t="s">
        <v>40</v>
      </c>
      <c r="AF11" t="s">
        <v>41</v>
      </c>
      <c r="AI11">
        <f t="shared" si="0"/>
        <v>2.5</v>
      </c>
      <c r="AJ11">
        <f t="shared" si="1"/>
        <v>14.177446878757825</v>
      </c>
    </row>
    <row r="12" spans="1:36" x14ac:dyDescent="0.2">
      <c r="A12">
        <v>311190</v>
      </c>
      <c r="B12" t="s">
        <v>76</v>
      </c>
      <c r="C12">
        <v>0.5</v>
      </c>
      <c r="D12">
        <v>1993</v>
      </c>
      <c r="E12">
        <v>2009</v>
      </c>
      <c r="F12">
        <v>16</v>
      </c>
      <c r="I12">
        <v>2</v>
      </c>
      <c r="J12">
        <v>0.47746482899999998</v>
      </c>
      <c r="K12">
        <v>3</v>
      </c>
      <c r="L12">
        <v>1</v>
      </c>
      <c r="M12">
        <v>0.4</v>
      </c>
      <c r="N12">
        <v>0.4</v>
      </c>
      <c r="O12">
        <v>8</v>
      </c>
      <c r="Q12">
        <v>1</v>
      </c>
      <c r="S12" t="s">
        <v>44</v>
      </c>
      <c r="T12" t="s">
        <v>45</v>
      </c>
      <c r="U12" t="s">
        <v>46</v>
      </c>
      <c r="V12" t="s">
        <v>35</v>
      </c>
      <c r="X12" t="s">
        <v>50</v>
      </c>
      <c r="Y12" t="s">
        <v>51</v>
      </c>
      <c r="Z12" t="s">
        <v>71</v>
      </c>
      <c r="AA12">
        <v>-0.5</v>
      </c>
      <c r="AB12">
        <v>-8</v>
      </c>
      <c r="AC12">
        <v>0.5</v>
      </c>
      <c r="AD12" t="s">
        <v>78</v>
      </c>
      <c r="AE12" t="s">
        <v>40</v>
      </c>
      <c r="AF12" t="s">
        <v>41</v>
      </c>
      <c r="AI12">
        <f t="shared" si="0"/>
        <v>0.4</v>
      </c>
      <c r="AJ12">
        <f t="shared" si="1"/>
        <v>1.7320508075688772</v>
      </c>
    </row>
    <row r="13" spans="1:36" x14ac:dyDescent="0.2">
      <c r="A13">
        <v>312090</v>
      </c>
      <c r="B13" t="s">
        <v>79</v>
      </c>
      <c r="C13">
        <v>10</v>
      </c>
      <c r="D13">
        <v>1992</v>
      </c>
      <c r="E13">
        <v>2010</v>
      </c>
      <c r="F13">
        <v>18</v>
      </c>
      <c r="I13">
        <v>8</v>
      </c>
      <c r="J13">
        <v>1.989436789</v>
      </c>
      <c r="K13">
        <v>50</v>
      </c>
      <c r="L13">
        <v>1</v>
      </c>
      <c r="M13">
        <v>4</v>
      </c>
      <c r="N13">
        <v>4</v>
      </c>
      <c r="O13">
        <v>180</v>
      </c>
      <c r="Q13">
        <v>1</v>
      </c>
      <c r="S13" t="s">
        <v>44</v>
      </c>
      <c r="T13" t="s">
        <v>33</v>
      </c>
      <c r="U13" t="s">
        <v>34</v>
      </c>
      <c r="V13" t="s">
        <v>35</v>
      </c>
      <c r="X13" t="s">
        <v>50</v>
      </c>
      <c r="Y13" t="s">
        <v>51</v>
      </c>
      <c r="Z13" t="s">
        <v>48</v>
      </c>
      <c r="AA13">
        <v>-10</v>
      </c>
      <c r="AB13">
        <v>-180</v>
      </c>
      <c r="AC13">
        <v>10</v>
      </c>
      <c r="AD13" t="s">
        <v>80</v>
      </c>
      <c r="AE13" t="s">
        <v>40</v>
      </c>
      <c r="AF13" t="s">
        <v>41</v>
      </c>
      <c r="AI13">
        <f t="shared" si="0"/>
        <v>4</v>
      </c>
      <c r="AJ13">
        <f t="shared" si="1"/>
        <v>7.0710678118654755</v>
      </c>
    </row>
    <row r="14" spans="1:36" x14ac:dyDescent="0.2">
      <c r="A14">
        <v>373060</v>
      </c>
      <c r="B14" t="s">
        <v>83</v>
      </c>
      <c r="C14">
        <v>3</v>
      </c>
      <c r="D14">
        <v>2000</v>
      </c>
      <c r="E14">
        <v>2009</v>
      </c>
      <c r="F14">
        <v>9</v>
      </c>
      <c r="I14">
        <v>8</v>
      </c>
      <c r="J14">
        <v>1.989436789</v>
      </c>
      <c r="K14">
        <v>50</v>
      </c>
      <c r="L14">
        <v>1</v>
      </c>
      <c r="M14">
        <v>3.2</v>
      </c>
      <c r="N14">
        <v>3.8</v>
      </c>
      <c r="O14">
        <v>27</v>
      </c>
      <c r="Q14">
        <v>1</v>
      </c>
      <c r="S14" t="s">
        <v>84</v>
      </c>
      <c r="T14" t="s">
        <v>45</v>
      </c>
      <c r="U14" t="s">
        <v>61</v>
      </c>
      <c r="V14" t="s">
        <v>47</v>
      </c>
      <c r="X14" t="s">
        <v>50</v>
      </c>
      <c r="Y14" t="s">
        <v>51</v>
      </c>
      <c r="Z14" t="s">
        <v>38</v>
      </c>
      <c r="AA14">
        <v>-3</v>
      </c>
      <c r="AB14">
        <v>-27</v>
      </c>
      <c r="AC14">
        <v>3</v>
      </c>
      <c r="AD14" t="s">
        <v>85</v>
      </c>
      <c r="AE14" t="s">
        <v>40</v>
      </c>
      <c r="AF14" t="s">
        <v>41</v>
      </c>
      <c r="AI14">
        <f t="shared" si="0"/>
        <v>3.5</v>
      </c>
      <c r="AJ14">
        <f t="shared" si="1"/>
        <v>7.0710678118654755</v>
      </c>
    </row>
    <row r="15" spans="1:36" x14ac:dyDescent="0.2">
      <c r="A15">
        <v>311160</v>
      </c>
      <c r="B15" t="s">
        <v>86</v>
      </c>
      <c r="C15">
        <v>0.5</v>
      </c>
      <c r="D15">
        <v>2004</v>
      </c>
      <c r="E15">
        <v>2005</v>
      </c>
      <c r="F15">
        <v>1</v>
      </c>
      <c r="I15">
        <v>5</v>
      </c>
      <c r="J15">
        <v>1.25</v>
      </c>
      <c r="K15">
        <v>19.63</v>
      </c>
      <c r="L15">
        <v>1</v>
      </c>
      <c r="M15">
        <v>3</v>
      </c>
      <c r="N15">
        <v>4</v>
      </c>
      <c r="O15">
        <v>0.5</v>
      </c>
      <c r="Q15">
        <v>2</v>
      </c>
      <c r="S15" t="s">
        <v>44</v>
      </c>
      <c r="T15" t="s">
        <v>87</v>
      </c>
      <c r="U15" t="s">
        <v>46</v>
      </c>
      <c r="V15" t="s">
        <v>47</v>
      </c>
      <c r="X15" t="s">
        <v>50</v>
      </c>
      <c r="Y15" t="s">
        <v>51</v>
      </c>
      <c r="Z15" t="s">
        <v>52</v>
      </c>
      <c r="AA15">
        <v>-0.5</v>
      </c>
      <c r="AB15">
        <v>-0.5</v>
      </c>
      <c r="AC15">
        <v>0.5</v>
      </c>
      <c r="AD15" t="s">
        <v>88</v>
      </c>
      <c r="AE15" t="s">
        <v>40</v>
      </c>
      <c r="AF15" t="s">
        <v>41</v>
      </c>
      <c r="AI15">
        <f t="shared" si="0"/>
        <v>3.5</v>
      </c>
      <c r="AJ15">
        <f t="shared" si="1"/>
        <v>4.4305755833751439</v>
      </c>
    </row>
    <row r="16" spans="1:36" x14ac:dyDescent="0.2">
      <c r="A16">
        <v>311160</v>
      </c>
      <c r="B16" t="s">
        <v>86</v>
      </c>
      <c r="C16">
        <v>1</v>
      </c>
      <c r="D16">
        <v>1997</v>
      </c>
      <c r="E16">
        <v>1998</v>
      </c>
      <c r="F16">
        <v>1</v>
      </c>
      <c r="I16">
        <v>5</v>
      </c>
      <c r="J16">
        <v>1.25</v>
      </c>
      <c r="K16">
        <v>19.63</v>
      </c>
      <c r="L16">
        <v>1</v>
      </c>
      <c r="M16">
        <v>3</v>
      </c>
      <c r="N16">
        <v>4</v>
      </c>
      <c r="O16">
        <v>1</v>
      </c>
      <c r="Q16">
        <v>2</v>
      </c>
      <c r="S16" t="s">
        <v>44</v>
      </c>
      <c r="T16" t="s">
        <v>87</v>
      </c>
      <c r="U16" t="s">
        <v>46</v>
      </c>
      <c r="V16" t="s">
        <v>47</v>
      </c>
      <c r="X16" t="s">
        <v>50</v>
      </c>
      <c r="Y16" t="s">
        <v>51</v>
      </c>
      <c r="Z16" t="s">
        <v>52</v>
      </c>
      <c r="AA16">
        <v>-1</v>
      </c>
      <c r="AB16">
        <v>-1</v>
      </c>
      <c r="AC16">
        <v>1</v>
      </c>
      <c r="AD16" t="s">
        <v>89</v>
      </c>
      <c r="AE16" t="s">
        <v>40</v>
      </c>
      <c r="AF16" t="s">
        <v>41</v>
      </c>
      <c r="AI16">
        <f t="shared" si="0"/>
        <v>3.5</v>
      </c>
      <c r="AJ16">
        <f t="shared" si="1"/>
        <v>4.4305755833751439</v>
      </c>
    </row>
    <row r="17" spans="1:36" x14ac:dyDescent="0.2">
      <c r="A17">
        <v>311160</v>
      </c>
      <c r="B17" t="s">
        <v>86</v>
      </c>
      <c r="C17">
        <v>1</v>
      </c>
      <c r="D17">
        <v>1998</v>
      </c>
      <c r="E17">
        <v>1999</v>
      </c>
      <c r="F17">
        <v>1</v>
      </c>
      <c r="I17">
        <v>5</v>
      </c>
      <c r="J17">
        <v>1.25</v>
      </c>
      <c r="K17">
        <v>19.63</v>
      </c>
      <c r="L17">
        <v>1</v>
      </c>
      <c r="M17">
        <v>3</v>
      </c>
      <c r="N17">
        <v>4</v>
      </c>
      <c r="O17">
        <v>1</v>
      </c>
      <c r="Q17">
        <v>2</v>
      </c>
      <c r="S17" t="s">
        <v>44</v>
      </c>
      <c r="T17" t="s">
        <v>87</v>
      </c>
      <c r="U17" t="s">
        <v>46</v>
      </c>
      <c r="V17" t="s">
        <v>47</v>
      </c>
      <c r="X17" t="s">
        <v>50</v>
      </c>
      <c r="Y17" t="s">
        <v>51</v>
      </c>
      <c r="Z17" t="s">
        <v>52</v>
      </c>
      <c r="AA17">
        <v>-1</v>
      </c>
      <c r="AB17">
        <v>-1</v>
      </c>
      <c r="AC17">
        <v>1</v>
      </c>
      <c r="AD17" t="s">
        <v>90</v>
      </c>
      <c r="AE17" t="s">
        <v>40</v>
      </c>
      <c r="AF17" t="s">
        <v>41</v>
      </c>
      <c r="AI17">
        <f t="shared" si="0"/>
        <v>3.5</v>
      </c>
      <c r="AJ17">
        <f t="shared" si="1"/>
        <v>4.4305755833751439</v>
      </c>
    </row>
    <row r="18" spans="1:36" x14ac:dyDescent="0.2">
      <c r="A18">
        <v>311160</v>
      </c>
      <c r="B18" t="s">
        <v>86</v>
      </c>
      <c r="C18">
        <v>3</v>
      </c>
      <c r="D18">
        <v>1999</v>
      </c>
      <c r="E18">
        <v>2000</v>
      </c>
      <c r="F18">
        <v>1</v>
      </c>
      <c r="I18">
        <v>18</v>
      </c>
      <c r="J18">
        <v>4.5</v>
      </c>
      <c r="K18">
        <v>254.47</v>
      </c>
      <c r="L18">
        <v>1</v>
      </c>
      <c r="M18">
        <v>5.7</v>
      </c>
      <c r="N18">
        <v>5.7</v>
      </c>
      <c r="O18">
        <v>3</v>
      </c>
      <c r="Q18">
        <v>2</v>
      </c>
      <c r="S18" t="s">
        <v>44</v>
      </c>
      <c r="T18" t="s">
        <v>87</v>
      </c>
      <c r="U18" t="s">
        <v>46</v>
      </c>
      <c r="V18" t="s">
        <v>47</v>
      </c>
      <c r="X18" t="s">
        <v>37</v>
      </c>
      <c r="Y18" t="s">
        <v>37</v>
      </c>
      <c r="Z18" t="s">
        <v>38</v>
      </c>
      <c r="AA18">
        <v>3</v>
      </c>
      <c r="AB18">
        <v>3</v>
      </c>
      <c r="AC18">
        <v>3</v>
      </c>
      <c r="AD18" t="s">
        <v>91</v>
      </c>
      <c r="AE18" t="s">
        <v>40</v>
      </c>
      <c r="AF18" t="s">
        <v>41</v>
      </c>
      <c r="AI18">
        <f t="shared" si="0"/>
        <v>5.7</v>
      </c>
      <c r="AJ18">
        <f t="shared" si="1"/>
        <v>15.952115847121974</v>
      </c>
    </row>
    <row r="19" spans="1:36" x14ac:dyDescent="0.2">
      <c r="A19">
        <v>311160</v>
      </c>
      <c r="B19" t="s">
        <v>86</v>
      </c>
      <c r="C19">
        <v>3</v>
      </c>
      <c r="D19">
        <v>2003</v>
      </c>
      <c r="E19">
        <v>2004</v>
      </c>
      <c r="F19">
        <v>1</v>
      </c>
      <c r="I19">
        <v>18</v>
      </c>
      <c r="J19">
        <v>4.5</v>
      </c>
      <c r="K19">
        <v>254.47</v>
      </c>
      <c r="L19">
        <v>1</v>
      </c>
      <c r="M19">
        <v>5.7</v>
      </c>
      <c r="N19">
        <v>5.7</v>
      </c>
      <c r="O19">
        <v>3</v>
      </c>
      <c r="Q19">
        <v>2</v>
      </c>
      <c r="S19" t="s">
        <v>44</v>
      </c>
      <c r="T19" t="s">
        <v>87</v>
      </c>
      <c r="U19" t="s">
        <v>46</v>
      </c>
      <c r="V19" t="s">
        <v>47</v>
      </c>
      <c r="X19" t="s">
        <v>37</v>
      </c>
      <c r="Y19" t="s">
        <v>37</v>
      </c>
      <c r="Z19" t="s">
        <v>38</v>
      </c>
      <c r="AA19">
        <v>3</v>
      </c>
      <c r="AB19">
        <v>3</v>
      </c>
      <c r="AC19">
        <v>3</v>
      </c>
      <c r="AD19" t="s">
        <v>92</v>
      </c>
      <c r="AE19" t="s">
        <v>40</v>
      </c>
      <c r="AF19" t="s">
        <v>41</v>
      </c>
      <c r="AI19">
        <f t="shared" si="0"/>
        <v>5.7</v>
      </c>
      <c r="AJ19">
        <f t="shared" si="1"/>
        <v>15.952115847121974</v>
      </c>
    </row>
    <row r="20" spans="1:36" x14ac:dyDescent="0.2">
      <c r="A20">
        <v>311160</v>
      </c>
      <c r="B20" t="s">
        <v>86</v>
      </c>
      <c r="C20">
        <v>14.313725489999999</v>
      </c>
      <c r="D20" s="1">
        <v>38869</v>
      </c>
      <c r="E20" s="1">
        <v>39022</v>
      </c>
      <c r="F20">
        <v>0.41917808200000001</v>
      </c>
      <c r="H20">
        <v>5</v>
      </c>
      <c r="I20">
        <v>18</v>
      </c>
      <c r="K20">
        <v>254</v>
      </c>
      <c r="L20">
        <v>1</v>
      </c>
      <c r="M20">
        <v>5.7</v>
      </c>
      <c r="N20">
        <v>5.7</v>
      </c>
      <c r="O20">
        <v>6</v>
      </c>
      <c r="Q20">
        <v>1</v>
      </c>
      <c r="T20" t="s">
        <v>87</v>
      </c>
      <c r="U20" t="s">
        <v>46</v>
      </c>
      <c r="V20" t="s">
        <v>47</v>
      </c>
      <c r="W20" t="s">
        <v>36</v>
      </c>
      <c r="X20" t="s">
        <v>37</v>
      </c>
      <c r="Y20" t="s">
        <v>37</v>
      </c>
      <c r="Z20" t="s">
        <v>93</v>
      </c>
      <c r="AA20">
        <v>14.313725489999999</v>
      </c>
      <c r="AB20">
        <v>6</v>
      </c>
      <c r="AC20">
        <v>14.313725489999999</v>
      </c>
      <c r="AD20" t="s">
        <v>94</v>
      </c>
      <c r="AE20" t="s">
        <v>40</v>
      </c>
      <c r="AF20" t="s">
        <v>41</v>
      </c>
      <c r="AI20">
        <f t="shared" si="0"/>
        <v>5.7</v>
      </c>
      <c r="AJ20">
        <f t="shared" si="1"/>
        <v>15.937377450509228</v>
      </c>
    </row>
    <row r="21" spans="1:36" x14ac:dyDescent="0.2">
      <c r="A21">
        <v>313010</v>
      </c>
      <c r="B21" t="s">
        <v>95</v>
      </c>
      <c r="C21">
        <v>3</v>
      </c>
      <c r="D21">
        <v>1992</v>
      </c>
      <c r="E21">
        <v>2005</v>
      </c>
      <c r="F21">
        <v>13</v>
      </c>
      <c r="I21">
        <v>7</v>
      </c>
      <c r="J21">
        <v>1.7279679539999999</v>
      </c>
      <c r="K21">
        <v>38</v>
      </c>
      <c r="L21">
        <v>1</v>
      </c>
      <c r="M21">
        <v>9.6</v>
      </c>
      <c r="N21">
        <v>9.6</v>
      </c>
      <c r="O21">
        <v>39</v>
      </c>
      <c r="Q21">
        <v>2</v>
      </c>
      <c r="S21" t="s">
        <v>44</v>
      </c>
      <c r="T21" t="s">
        <v>96</v>
      </c>
      <c r="U21" t="s">
        <v>34</v>
      </c>
      <c r="V21" t="s">
        <v>35</v>
      </c>
      <c r="X21" t="s">
        <v>50</v>
      </c>
      <c r="Y21" t="s">
        <v>51</v>
      </c>
      <c r="Z21" t="s">
        <v>77</v>
      </c>
      <c r="AA21">
        <v>-3</v>
      </c>
      <c r="AB21">
        <v>-39</v>
      </c>
      <c r="AC21">
        <v>3</v>
      </c>
      <c r="AD21" t="s">
        <v>97</v>
      </c>
      <c r="AE21" t="s">
        <v>40</v>
      </c>
      <c r="AF21" t="s">
        <v>41</v>
      </c>
      <c r="AI21">
        <f t="shared" si="0"/>
        <v>9.6</v>
      </c>
      <c r="AJ21">
        <f t="shared" si="1"/>
        <v>6.164414002968976</v>
      </c>
    </row>
    <row r="22" spans="1:36" x14ac:dyDescent="0.2">
      <c r="A22">
        <v>313010</v>
      </c>
      <c r="B22" t="s">
        <v>95</v>
      </c>
      <c r="C22">
        <v>20</v>
      </c>
      <c r="D22" s="1">
        <v>38596</v>
      </c>
      <c r="E22" s="1">
        <v>38718</v>
      </c>
      <c r="F22">
        <v>0.3342</v>
      </c>
      <c r="I22">
        <v>4</v>
      </c>
      <c r="J22">
        <v>1.0345071299999999</v>
      </c>
      <c r="K22">
        <v>13</v>
      </c>
      <c r="L22">
        <v>1</v>
      </c>
      <c r="M22">
        <v>10.6</v>
      </c>
      <c r="N22">
        <v>10.6</v>
      </c>
      <c r="O22">
        <v>6.6849315069999999</v>
      </c>
      <c r="Q22">
        <v>2</v>
      </c>
      <c r="S22" t="s">
        <v>44</v>
      </c>
      <c r="T22" t="s">
        <v>96</v>
      </c>
      <c r="U22" t="s">
        <v>34</v>
      </c>
      <c r="V22" t="s">
        <v>35</v>
      </c>
      <c r="X22" t="s">
        <v>37</v>
      </c>
      <c r="Y22" t="s">
        <v>37</v>
      </c>
      <c r="Z22" t="s">
        <v>48</v>
      </c>
      <c r="AA22">
        <v>20</v>
      </c>
      <c r="AB22">
        <v>6.6849315069999999</v>
      </c>
      <c r="AC22">
        <v>20</v>
      </c>
      <c r="AD22" t="s">
        <v>99</v>
      </c>
      <c r="AE22" t="s">
        <v>40</v>
      </c>
      <c r="AF22" t="s">
        <v>41</v>
      </c>
      <c r="AI22">
        <f t="shared" si="0"/>
        <v>10.6</v>
      </c>
      <c r="AJ22">
        <f t="shared" si="1"/>
        <v>3.6055512754639891</v>
      </c>
    </row>
    <row r="23" spans="1:36" x14ac:dyDescent="0.2">
      <c r="A23">
        <v>353060</v>
      </c>
      <c r="B23" t="s">
        <v>100</v>
      </c>
      <c r="C23">
        <v>2.4700000000000002</v>
      </c>
      <c r="D23" s="1">
        <v>33786</v>
      </c>
      <c r="E23" s="1">
        <v>35704</v>
      </c>
      <c r="F23">
        <v>5.254794521</v>
      </c>
      <c r="I23">
        <v>11</v>
      </c>
      <c r="K23">
        <v>95</v>
      </c>
      <c r="L23">
        <v>1</v>
      </c>
      <c r="M23">
        <v>5</v>
      </c>
      <c r="N23">
        <v>5</v>
      </c>
      <c r="O23">
        <v>13</v>
      </c>
      <c r="Q23">
        <v>2</v>
      </c>
      <c r="T23" t="s">
        <v>60</v>
      </c>
      <c r="U23" t="s">
        <v>61</v>
      </c>
      <c r="V23" t="s">
        <v>47</v>
      </c>
      <c r="W23" t="s">
        <v>36</v>
      </c>
      <c r="X23" t="s">
        <v>37</v>
      </c>
      <c r="Y23" t="s">
        <v>37</v>
      </c>
      <c r="Z23" t="s">
        <v>38</v>
      </c>
      <c r="AA23">
        <v>2.4700000000000002</v>
      </c>
      <c r="AB23">
        <v>13</v>
      </c>
      <c r="AC23">
        <v>2.473931178</v>
      </c>
      <c r="AD23" t="s">
        <v>101</v>
      </c>
      <c r="AE23" t="s">
        <v>40</v>
      </c>
      <c r="AF23" t="s">
        <v>41</v>
      </c>
      <c r="AI23">
        <f t="shared" si="0"/>
        <v>5</v>
      </c>
      <c r="AJ23">
        <f t="shared" si="1"/>
        <v>9.7467943448089631</v>
      </c>
    </row>
    <row r="24" spans="1:36" x14ac:dyDescent="0.2">
      <c r="A24">
        <v>373030</v>
      </c>
      <c r="B24" t="s">
        <v>102</v>
      </c>
      <c r="C24">
        <v>18250</v>
      </c>
      <c r="D24" s="2">
        <v>41867</v>
      </c>
      <c r="E24" s="2">
        <v>41929</v>
      </c>
      <c r="F24">
        <v>0.1699</v>
      </c>
      <c r="I24">
        <v>12</v>
      </c>
      <c r="J24">
        <v>3</v>
      </c>
      <c r="K24">
        <v>113.1</v>
      </c>
      <c r="L24">
        <v>4</v>
      </c>
      <c r="M24">
        <v>12</v>
      </c>
      <c r="N24">
        <v>12</v>
      </c>
      <c r="O24">
        <v>3100</v>
      </c>
      <c r="Q24">
        <v>2</v>
      </c>
      <c r="S24" t="s">
        <v>84</v>
      </c>
      <c r="T24" t="s">
        <v>45</v>
      </c>
      <c r="U24" t="s">
        <v>61</v>
      </c>
      <c r="V24" t="s">
        <v>47</v>
      </c>
      <c r="X24" t="s">
        <v>50</v>
      </c>
      <c r="Y24" t="s">
        <v>51</v>
      </c>
      <c r="Z24" t="s">
        <v>103</v>
      </c>
      <c r="AA24">
        <v>-18250</v>
      </c>
      <c r="AB24">
        <v>-3100</v>
      </c>
      <c r="AC24">
        <v>18250</v>
      </c>
      <c r="AD24" t="s">
        <v>104</v>
      </c>
      <c r="AE24" t="s">
        <v>40</v>
      </c>
      <c r="AF24" t="s">
        <v>41</v>
      </c>
      <c r="AI24">
        <f t="shared" si="0"/>
        <v>12</v>
      </c>
      <c r="AJ24">
        <f t="shared" si="1"/>
        <v>10.634848376916334</v>
      </c>
    </row>
    <row r="25" spans="1:36" x14ac:dyDescent="0.2">
      <c r="A25">
        <v>221250</v>
      </c>
      <c r="B25" t="s">
        <v>105</v>
      </c>
      <c r="C25">
        <v>2.0470899469999999</v>
      </c>
      <c r="D25" s="2">
        <v>39442</v>
      </c>
      <c r="E25" s="2">
        <v>40387</v>
      </c>
      <c r="F25">
        <v>2.5890410959999999</v>
      </c>
      <c r="H25">
        <v>8</v>
      </c>
      <c r="I25">
        <v>8</v>
      </c>
      <c r="K25">
        <v>50</v>
      </c>
      <c r="L25">
        <v>1</v>
      </c>
      <c r="M25">
        <v>1.9</v>
      </c>
      <c r="N25">
        <v>1.9</v>
      </c>
      <c r="O25">
        <v>5.3</v>
      </c>
      <c r="Q25">
        <v>1</v>
      </c>
      <c r="T25" t="s">
        <v>106</v>
      </c>
      <c r="U25" t="s">
        <v>68</v>
      </c>
      <c r="V25" t="s">
        <v>69</v>
      </c>
      <c r="W25" t="s">
        <v>36</v>
      </c>
      <c r="X25" t="s">
        <v>37</v>
      </c>
      <c r="Y25" t="s">
        <v>37</v>
      </c>
      <c r="Z25" t="s">
        <v>38</v>
      </c>
      <c r="AA25">
        <v>2.0470899469999999</v>
      </c>
      <c r="AB25">
        <v>5.3</v>
      </c>
      <c r="AC25">
        <v>2.0470899469999999</v>
      </c>
      <c r="AD25" t="s">
        <v>107</v>
      </c>
      <c r="AE25" t="s">
        <v>40</v>
      </c>
      <c r="AF25" t="s">
        <v>41</v>
      </c>
      <c r="AI25">
        <f t="shared" si="0"/>
        <v>1.9</v>
      </c>
      <c r="AJ25">
        <f t="shared" si="1"/>
        <v>7.0710678118654755</v>
      </c>
    </row>
    <row r="26" spans="1:36" x14ac:dyDescent="0.2">
      <c r="A26">
        <v>211010</v>
      </c>
      <c r="B26" t="s">
        <v>108</v>
      </c>
      <c r="C26">
        <v>0.43975903599999999</v>
      </c>
      <c r="D26" s="1">
        <v>33756</v>
      </c>
      <c r="E26" s="1">
        <v>36495</v>
      </c>
      <c r="F26">
        <v>7.5041095889999996</v>
      </c>
      <c r="I26">
        <v>15</v>
      </c>
      <c r="K26">
        <v>177</v>
      </c>
      <c r="L26">
        <v>1.5</v>
      </c>
      <c r="M26">
        <v>1.3</v>
      </c>
      <c r="N26">
        <v>3</v>
      </c>
      <c r="O26">
        <v>3.3</v>
      </c>
      <c r="Q26">
        <v>1</v>
      </c>
      <c r="T26" t="s">
        <v>33</v>
      </c>
      <c r="U26" t="s">
        <v>34</v>
      </c>
      <c r="V26" t="s">
        <v>109</v>
      </c>
      <c r="W26" t="s">
        <v>36</v>
      </c>
      <c r="X26" t="s">
        <v>50</v>
      </c>
      <c r="Y26" t="s">
        <v>51</v>
      </c>
      <c r="AA26">
        <v>-0.44</v>
      </c>
      <c r="AB26">
        <v>-3.3</v>
      </c>
      <c r="AC26">
        <v>0.43975903599999999</v>
      </c>
      <c r="AD26" t="s">
        <v>110</v>
      </c>
      <c r="AE26" t="s">
        <v>40</v>
      </c>
      <c r="AF26" t="s">
        <v>41</v>
      </c>
      <c r="AI26">
        <f t="shared" si="0"/>
        <v>2.15</v>
      </c>
      <c r="AJ26">
        <f t="shared" si="1"/>
        <v>13.30413469565007</v>
      </c>
    </row>
    <row r="27" spans="1:36" x14ac:dyDescent="0.2">
      <c r="A27">
        <v>211010</v>
      </c>
      <c r="B27" t="s">
        <v>108</v>
      </c>
      <c r="C27">
        <v>1.3</v>
      </c>
      <c r="D27">
        <v>2004</v>
      </c>
      <c r="E27">
        <v>2006</v>
      </c>
      <c r="F27">
        <v>2</v>
      </c>
      <c r="I27">
        <v>10</v>
      </c>
      <c r="K27">
        <v>79</v>
      </c>
      <c r="L27">
        <v>2</v>
      </c>
      <c r="M27">
        <v>1.8</v>
      </c>
      <c r="N27">
        <v>2.1</v>
      </c>
      <c r="O27">
        <v>2.6</v>
      </c>
      <c r="Q27">
        <v>1</v>
      </c>
      <c r="T27" t="s">
        <v>33</v>
      </c>
      <c r="U27" t="s">
        <v>34</v>
      </c>
      <c r="V27" t="s">
        <v>109</v>
      </c>
      <c r="W27" t="s">
        <v>36</v>
      </c>
      <c r="X27" t="s">
        <v>37</v>
      </c>
      <c r="Y27" t="s">
        <v>37</v>
      </c>
      <c r="AA27">
        <v>1.3</v>
      </c>
      <c r="AB27">
        <v>2.6</v>
      </c>
      <c r="AC27">
        <v>1.3</v>
      </c>
      <c r="AD27" t="s">
        <v>111</v>
      </c>
      <c r="AE27" t="s">
        <v>40</v>
      </c>
      <c r="AF27" t="s">
        <v>41</v>
      </c>
      <c r="AI27">
        <f t="shared" si="0"/>
        <v>1.9500000000000002</v>
      </c>
      <c r="AJ27">
        <f t="shared" si="1"/>
        <v>8.8881944173155887</v>
      </c>
    </row>
    <row r="28" spans="1:36" x14ac:dyDescent="0.2">
      <c r="A28">
        <v>211010</v>
      </c>
      <c r="B28" t="s">
        <v>108</v>
      </c>
      <c r="C28">
        <v>5</v>
      </c>
      <c r="D28">
        <v>2010</v>
      </c>
      <c r="E28">
        <v>2013</v>
      </c>
      <c r="F28">
        <v>3</v>
      </c>
      <c r="I28">
        <v>20</v>
      </c>
      <c r="K28">
        <v>314</v>
      </c>
      <c r="L28">
        <v>1.5</v>
      </c>
      <c r="M28">
        <v>1.8</v>
      </c>
      <c r="N28">
        <v>1.8</v>
      </c>
      <c r="O28">
        <v>15</v>
      </c>
      <c r="Q28">
        <v>1</v>
      </c>
      <c r="S28" t="s">
        <v>112</v>
      </c>
      <c r="T28" t="s">
        <v>33</v>
      </c>
      <c r="U28" t="s">
        <v>34</v>
      </c>
      <c r="V28" t="s">
        <v>109</v>
      </c>
      <c r="X28" t="s">
        <v>37</v>
      </c>
      <c r="Y28" t="s">
        <v>37</v>
      </c>
      <c r="Z28" t="s">
        <v>48</v>
      </c>
      <c r="AA28">
        <v>5</v>
      </c>
      <c r="AB28">
        <v>15</v>
      </c>
      <c r="AC28">
        <v>5</v>
      </c>
      <c r="AD28" t="s">
        <v>113</v>
      </c>
      <c r="AE28" t="s">
        <v>114</v>
      </c>
      <c r="AF28" t="s">
        <v>41</v>
      </c>
      <c r="AI28">
        <f t="shared" si="0"/>
        <v>1.8</v>
      </c>
      <c r="AJ28">
        <f t="shared" si="1"/>
        <v>17.720045146669349</v>
      </c>
    </row>
    <row r="29" spans="1:36" x14ac:dyDescent="0.2">
      <c r="A29">
        <v>211010</v>
      </c>
      <c r="B29" t="s">
        <v>108</v>
      </c>
      <c r="C29">
        <v>10.49673203</v>
      </c>
      <c r="D29" s="1">
        <v>36586</v>
      </c>
      <c r="E29" s="1">
        <v>36739</v>
      </c>
      <c r="F29">
        <v>0.41917808200000001</v>
      </c>
      <c r="I29">
        <v>8</v>
      </c>
      <c r="K29">
        <v>50</v>
      </c>
      <c r="L29">
        <v>1.5</v>
      </c>
      <c r="M29">
        <v>1.4</v>
      </c>
      <c r="N29">
        <v>3.2</v>
      </c>
      <c r="O29">
        <v>4.4000000000000004</v>
      </c>
      <c r="Q29">
        <v>1</v>
      </c>
      <c r="T29" t="s">
        <v>33</v>
      </c>
      <c r="U29" t="s">
        <v>34</v>
      </c>
      <c r="V29" t="s">
        <v>109</v>
      </c>
      <c r="W29" t="s">
        <v>36</v>
      </c>
      <c r="X29" t="s">
        <v>37</v>
      </c>
      <c r="Y29" t="s">
        <v>37</v>
      </c>
      <c r="AA29">
        <v>10.49673203</v>
      </c>
      <c r="AB29">
        <v>4.4000000000000004</v>
      </c>
      <c r="AC29">
        <v>10.49673203</v>
      </c>
      <c r="AD29" t="s">
        <v>115</v>
      </c>
      <c r="AE29" t="s">
        <v>40</v>
      </c>
      <c r="AF29" t="s">
        <v>41</v>
      </c>
      <c r="AI29">
        <f t="shared" si="0"/>
        <v>2.2999999999999998</v>
      </c>
      <c r="AJ29">
        <f t="shared" si="1"/>
        <v>7.0710678118654755</v>
      </c>
    </row>
    <row r="30" spans="1:36" x14ac:dyDescent="0.2">
      <c r="A30">
        <v>305060</v>
      </c>
      <c r="B30" t="s">
        <v>116</v>
      </c>
      <c r="C30">
        <v>0.99863201099999999</v>
      </c>
      <c r="D30" s="1">
        <v>38930</v>
      </c>
      <c r="E30" s="1">
        <v>39661</v>
      </c>
      <c r="F30">
        <v>2.0027397260000002</v>
      </c>
      <c r="I30">
        <v>12</v>
      </c>
      <c r="K30">
        <v>113</v>
      </c>
      <c r="L30">
        <v>1</v>
      </c>
      <c r="M30">
        <v>9</v>
      </c>
      <c r="N30">
        <v>9</v>
      </c>
      <c r="O30">
        <v>2</v>
      </c>
      <c r="Q30">
        <v>1</v>
      </c>
      <c r="T30" t="s">
        <v>45</v>
      </c>
      <c r="U30" t="s">
        <v>117</v>
      </c>
      <c r="V30" t="s">
        <v>109</v>
      </c>
      <c r="W30" t="s">
        <v>36</v>
      </c>
      <c r="X30" t="s">
        <v>37</v>
      </c>
      <c r="Y30" t="s">
        <v>118</v>
      </c>
      <c r="Z30" t="s">
        <v>38</v>
      </c>
      <c r="AA30">
        <v>0.99863201099999999</v>
      </c>
      <c r="AB30">
        <v>2</v>
      </c>
      <c r="AC30">
        <v>0.99863201099999999</v>
      </c>
      <c r="AD30" t="s">
        <v>119</v>
      </c>
      <c r="AE30" t="s">
        <v>40</v>
      </c>
      <c r="AF30" t="s">
        <v>41</v>
      </c>
      <c r="AI30">
        <f t="shared" si="0"/>
        <v>9</v>
      </c>
      <c r="AJ30">
        <f t="shared" si="1"/>
        <v>10.63014581273465</v>
      </c>
    </row>
    <row r="31" spans="1:36" x14ac:dyDescent="0.2">
      <c r="A31">
        <v>341040</v>
      </c>
      <c r="B31" t="s">
        <v>120</v>
      </c>
      <c r="C31">
        <v>4</v>
      </c>
      <c r="D31" s="2">
        <v>41269</v>
      </c>
      <c r="E31" s="2">
        <v>41280</v>
      </c>
      <c r="F31">
        <v>3.0099999999999998E-2</v>
      </c>
      <c r="I31">
        <v>1</v>
      </c>
      <c r="K31">
        <v>1</v>
      </c>
      <c r="L31">
        <v>1</v>
      </c>
      <c r="M31">
        <v>0.2</v>
      </c>
      <c r="N31">
        <v>0.2</v>
      </c>
      <c r="O31">
        <v>0.120547945</v>
      </c>
      <c r="Q31">
        <v>2</v>
      </c>
      <c r="S31" t="s">
        <v>81</v>
      </c>
      <c r="T31" t="s">
        <v>87</v>
      </c>
      <c r="U31" t="s">
        <v>34</v>
      </c>
      <c r="V31" t="s">
        <v>35</v>
      </c>
      <c r="X31" t="s">
        <v>53</v>
      </c>
      <c r="Y31" t="s">
        <v>121</v>
      </c>
      <c r="Z31" t="s">
        <v>38</v>
      </c>
      <c r="AA31">
        <v>-4</v>
      </c>
      <c r="AB31">
        <v>-0.120547945</v>
      </c>
      <c r="AC31">
        <v>4</v>
      </c>
      <c r="AD31" t="s">
        <v>122</v>
      </c>
      <c r="AE31" t="s">
        <v>40</v>
      </c>
      <c r="AF31" t="s">
        <v>41</v>
      </c>
      <c r="AI31">
        <f t="shared" si="0"/>
        <v>0.2</v>
      </c>
      <c r="AJ31">
        <f t="shared" si="1"/>
        <v>1</v>
      </c>
    </row>
    <row r="32" spans="1:36" x14ac:dyDescent="0.2">
      <c r="A32">
        <v>357090</v>
      </c>
      <c r="B32" t="s">
        <v>123</v>
      </c>
      <c r="C32">
        <v>2</v>
      </c>
      <c r="D32">
        <v>2002</v>
      </c>
      <c r="E32">
        <v>2008</v>
      </c>
      <c r="F32">
        <v>6</v>
      </c>
      <c r="I32">
        <v>10</v>
      </c>
      <c r="K32">
        <v>79</v>
      </c>
      <c r="L32">
        <v>1</v>
      </c>
      <c r="M32">
        <v>3.4</v>
      </c>
      <c r="N32">
        <v>5.6</v>
      </c>
      <c r="O32">
        <v>12</v>
      </c>
      <c r="Q32">
        <v>2</v>
      </c>
      <c r="S32" t="s">
        <v>59</v>
      </c>
      <c r="T32" t="s">
        <v>45</v>
      </c>
      <c r="U32" t="s">
        <v>34</v>
      </c>
      <c r="V32" t="s">
        <v>124</v>
      </c>
      <c r="X32" t="s">
        <v>50</v>
      </c>
      <c r="Y32" t="s">
        <v>51</v>
      </c>
      <c r="Z32" t="s">
        <v>71</v>
      </c>
      <c r="AA32">
        <v>-2</v>
      </c>
      <c r="AB32">
        <v>-12</v>
      </c>
      <c r="AC32">
        <v>2</v>
      </c>
      <c r="AD32" t="s">
        <v>125</v>
      </c>
      <c r="AE32" t="s">
        <v>40</v>
      </c>
      <c r="AF32" t="s">
        <v>41</v>
      </c>
      <c r="AI32">
        <f t="shared" si="0"/>
        <v>4.5</v>
      </c>
      <c r="AJ32">
        <f t="shared" si="1"/>
        <v>8.8881944173155887</v>
      </c>
    </row>
    <row r="33" spans="1:36" x14ac:dyDescent="0.2">
      <c r="A33">
        <v>221290</v>
      </c>
      <c r="B33" t="s">
        <v>126</v>
      </c>
      <c r="C33">
        <v>4.6666666670000003</v>
      </c>
      <c r="D33">
        <v>1997</v>
      </c>
      <c r="E33">
        <v>2000</v>
      </c>
      <c r="F33">
        <v>3</v>
      </c>
      <c r="I33">
        <v>9</v>
      </c>
      <c r="K33">
        <v>64</v>
      </c>
      <c r="L33">
        <v>1</v>
      </c>
      <c r="M33">
        <v>8</v>
      </c>
      <c r="N33">
        <v>8</v>
      </c>
      <c r="O33">
        <v>14</v>
      </c>
      <c r="Q33">
        <v>1</v>
      </c>
      <c r="T33" t="s">
        <v>33</v>
      </c>
      <c r="U33" t="s">
        <v>68</v>
      </c>
      <c r="V33" t="s">
        <v>69</v>
      </c>
      <c r="W33" t="s">
        <v>36</v>
      </c>
      <c r="X33" t="s">
        <v>50</v>
      </c>
      <c r="Y33" t="s">
        <v>51</v>
      </c>
      <c r="Z33" t="s">
        <v>38</v>
      </c>
      <c r="AA33">
        <v>-4.67</v>
      </c>
      <c r="AB33">
        <v>-14</v>
      </c>
      <c r="AC33">
        <v>4.6666666670000003</v>
      </c>
      <c r="AD33" t="s">
        <v>127</v>
      </c>
      <c r="AE33" t="s">
        <v>40</v>
      </c>
      <c r="AF33" t="s">
        <v>41</v>
      </c>
      <c r="AI33">
        <f t="shared" si="0"/>
        <v>8</v>
      </c>
      <c r="AJ33">
        <f t="shared" si="1"/>
        <v>8</v>
      </c>
    </row>
    <row r="34" spans="1:36" x14ac:dyDescent="0.2">
      <c r="A34">
        <v>221290</v>
      </c>
      <c r="B34" t="s">
        <v>126</v>
      </c>
      <c r="C34">
        <v>51.1</v>
      </c>
      <c r="D34">
        <v>2009</v>
      </c>
      <c r="E34">
        <v>2009</v>
      </c>
      <c r="F34">
        <v>8.2191781000000005E-2</v>
      </c>
      <c r="I34">
        <v>9</v>
      </c>
      <c r="K34">
        <v>64</v>
      </c>
      <c r="L34">
        <v>1</v>
      </c>
      <c r="M34">
        <v>8</v>
      </c>
      <c r="N34">
        <v>8</v>
      </c>
      <c r="O34">
        <v>4.2</v>
      </c>
      <c r="Q34">
        <v>1</v>
      </c>
      <c r="T34" t="s">
        <v>33</v>
      </c>
      <c r="U34" t="s">
        <v>68</v>
      </c>
      <c r="V34" t="s">
        <v>69</v>
      </c>
      <c r="W34" t="s">
        <v>36</v>
      </c>
      <c r="X34" t="s">
        <v>37</v>
      </c>
      <c r="Y34" t="s">
        <v>37</v>
      </c>
      <c r="Z34" t="s">
        <v>38</v>
      </c>
      <c r="AA34">
        <v>51.1</v>
      </c>
      <c r="AB34">
        <v>4.2</v>
      </c>
      <c r="AC34">
        <v>51.1</v>
      </c>
      <c r="AD34" t="s">
        <v>128</v>
      </c>
      <c r="AE34" t="s">
        <v>40</v>
      </c>
      <c r="AF34" t="s">
        <v>41</v>
      </c>
      <c r="AI34">
        <f t="shared" si="0"/>
        <v>8</v>
      </c>
      <c r="AJ34">
        <f t="shared" si="1"/>
        <v>8</v>
      </c>
    </row>
    <row r="35" spans="1:36" x14ac:dyDescent="0.2">
      <c r="A35">
        <v>355101</v>
      </c>
      <c r="B35" t="s">
        <v>129</v>
      </c>
      <c r="C35">
        <v>0.4</v>
      </c>
      <c r="D35">
        <v>1992</v>
      </c>
      <c r="E35">
        <v>2003</v>
      </c>
      <c r="F35">
        <v>11</v>
      </c>
      <c r="H35">
        <v>13</v>
      </c>
      <c r="I35">
        <v>17</v>
      </c>
      <c r="K35">
        <v>227</v>
      </c>
      <c r="L35">
        <v>1</v>
      </c>
      <c r="M35">
        <v>9</v>
      </c>
      <c r="N35">
        <v>9</v>
      </c>
      <c r="O35">
        <v>4.4000000000000004</v>
      </c>
      <c r="Q35">
        <v>1</v>
      </c>
      <c r="S35" t="s">
        <v>59</v>
      </c>
      <c r="T35" t="s">
        <v>87</v>
      </c>
      <c r="U35" t="s">
        <v>34</v>
      </c>
      <c r="V35" t="s">
        <v>35</v>
      </c>
      <c r="X35" t="s">
        <v>50</v>
      </c>
      <c r="Y35" t="s">
        <v>51</v>
      </c>
      <c r="Z35" t="s">
        <v>48</v>
      </c>
      <c r="AA35">
        <v>-0.4</v>
      </c>
      <c r="AB35">
        <v>-4.4000000000000004</v>
      </c>
      <c r="AC35">
        <v>0.4</v>
      </c>
      <c r="AD35" t="s">
        <v>130</v>
      </c>
      <c r="AE35" t="s">
        <v>40</v>
      </c>
      <c r="AF35" t="s">
        <v>41</v>
      </c>
      <c r="AI35">
        <f t="shared" si="0"/>
        <v>9</v>
      </c>
      <c r="AJ35">
        <f t="shared" si="1"/>
        <v>15.066519173319364</v>
      </c>
    </row>
    <row r="36" spans="1:36" x14ac:dyDescent="0.2">
      <c r="A36">
        <v>355101</v>
      </c>
      <c r="B36" t="s">
        <v>129</v>
      </c>
      <c r="C36">
        <v>0.5</v>
      </c>
      <c r="D36">
        <v>2003</v>
      </c>
      <c r="E36">
        <v>2010</v>
      </c>
      <c r="F36">
        <v>7</v>
      </c>
      <c r="H36">
        <v>13</v>
      </c>
      <c r="I36">
        <v>20</v>
      </c>
      <c r="K36">
        <v>314</v>
      </c>
      <c r="L36">
        <v>1</v>
      </c>
      <c r="M36">
        <v>13</v>
      </c>
      <c r="N36">
        <v>13</v>
      </c>
      <c r="O36">
        <v>3.5</v>
      </c>
      <c r="Q36">
        <v>1</v>
      </c>
      <c r="S36" t="s">
        <v>59</v>
      </c>
      <c r="T36" t="s">
        <v>87</v>
      </c>
      <c r="U36" t="s">
        <v>34</v>
      </c>
      <c r="V36" t="s">
        <v>35</v>
      </c>
      <c r="X36" t="s">
        <v>37</v>
      </c>
      <c r="Y36" t="s">
        <v>37</v>
      </c>
      <c r="Z36" t="s">
        <v>48</v>
      </c>
      <c r="AA36">
        <v>0.5</v>
      </c>
      <c r="AB36">
        <v>3.5</v>
      </c>
      <c r="AC36">
        <v>0.5</v>
      </c>
      <c r="AD36" t="s">
        <v>131</v>
      </c>
      <c r="AE36" t="s">
        <v>40</v>
      </c>
      <c r="AF36" t="s">
        <v>41</v>
      </c>
      <c r="AI36">
        <f t="shared" si="0"/>
        <v>13</v>
      </c>
      <c r="AJ36">
        <f t="shared" si="1"/>
        <v>17.720045146669349</v>
      </c>
    </row>
    <row r="37" spans="1:36" x14ac:dyDescent="0.2">
      <c r="A37">
        <v>355121</v>
      </c>
      <c r="B37" t="s">
        <v>132</v>
      </c>
      <c r="C37">
        <v>3.5</v>
      </c>
      <c r="D37">
        <v>1998</v>
      </c>
      <c r="E37">
        <v>2011</v>
      </c>
      <c r="F37">
        <v>13</v>
      </c>
      <c r="H37">
        <v>9</v>
      </c>
      <c r="I37">
        <v>45</v>
      </c>
      <c r="J37">
        <v>37</v>
      </c>
      <c r="K37">
        <v>1308</v>
      </c>
      <c r="L37">
        <v>1.2162162160000001</v>
      </c>
      <c r="M37">
        <v>6</v>
      </c>
      <c r="N37">
        <v>15</v>
      </c>
      <c r="O37">
        <v>45.5</v>
      </c>
      <c r="Q37">
        <v>1</v>
      </c>
      <c r="S37" t="s">
        <v>59</v>
      </c>
      <c r="T37" t="s">
        <v>82</v>
      </c>
      <c r="U37" t="s">
        <v>34</v>
      </c>
      <c r="V37" t="s">
        <v>35</v>
      </c>
      <c r="X37" t="s">
        <v>37</v>
      </c>
      <c r="Y37" t="s">
        <v>37</v>
      </c>
      <c r="Z37" t="s">
        <v>38</v>
      </c>
      <c r="AA37">
        <v>3.5</v>
      </c>
      <c r="AB37">
        <v>45.5</v>
      </c>
      <c r="AC37">
        <v>3.5</v>
      </c>
      <c r="AD37" t="s">
        <v>133</v>
      </c>
      <c r="AE37" t="s">
        <v>40</v>
      </c>
      <c r="AF37" t="s">
        <v>41</v>
      </c>
      <c r="AI37">
        <f t="shared" si="0"/>
        <v>10.5</v>
      </c>
      <c r="AJ37">
        <f t="shared" si="1"/>
        <v>36.166282640050248</v>
      </c>
    </row>
    <row r="38" spans="1:36" x14ac:dyDescent="0.2">
      <c r="A38">
        <v>323180</v>
      </c>
      <c r="B38" t="s">
        <v>134</v>
      </c>
      <c r="C38">
        <v>4</v>
      </c>
      <c r="D38">
        <v>1992</v>
      </c>
      <c r="E38">
        <v>1997</v>
      </c>
      <c r="F38">
        <v>5</v>
      </c>
      <c r="I38">
        <v>15</v>
      </c>
      <c r="J38">
        <v>10</v>
      </c>
      <c r="K38">
        <v>118</v>
      </c>
      <c r="L38">
        <v>1.5</v>
      </c>
      <c r="M38">
        <v>4</v>
      </c>
      <c r="N38">
        <v>4</v>
      </c>
      <c r="O38">
        <v>20</v>
      </c>
      <c r="Q38">
        <v>1</v>
      </c>
      <c r="S38" t="s">
        <v>135</v>
      </c>
      <c r="T38" t="s">
        <v>96</v>
      </c>
      <c r="U38" t="s">
        <v>68</v>
      </c>
      <c r="V38" t="s">
        <v>109</v>
      </c>
      <c r="X38" t="s">
        <v>50</v>
      </c>
      <c r="Y38" t="s">
        <v>51</v>
      </c>
      <c r="Z38" t="s">
        <v>136</v>
      </c>
      <c r="AA38">
        <v>-4</v>
      </c>
      <c r="AB38">
        <v>-20</v>
      </c>
      <c r="AC38">
        <v>4</v>
      </c>
      <c r="AD38" t="s">
        <v>137</v>
      </c>
      <c r="AE38" t="s">
        <v>40</v>
      </c>
      <c r="AF38" t="s">
        <v>41</v>
      </c>
      <c r="AI38">
        <f t="shared" si="0"/>
        <v>4</v>
      </c>
      <c r="AJ38">
        <f t="shared" si="1"/>
        <v>10.862780491200215</v>
      </c>
    </row>
    <row r="39" spans="1:36" x14ac:dyDescent="0.2">
      <c r="A39">
        <v>221113</v>
      </c>
      <c r="B39" t="s">
        <v>138</v>
      </c>
      <c r="C39">
        <v>11.37662338</v>
      </c>
      <c r="D39" s="2">
        <v>38093</v>
      </c>
      <c r="E39" s="2">
        <v>38478</v>
      </c>
      <c r="F39">
        <v>1.054794521</v>
      </c>
      <c r="I39">
        <v>10</v>
      </c>
      <c r="K39">
        <v>79</v>
      </c>
      <c r="L39">
        <v>1</v>
      </c>
      <c r="M39">
        <v>5</v>
      </c>
      <c r="N39">
        <v>5</v>
      </c>
      <c r="O39">
        <v>12</v>
      </c>
      <c r="Q39">
        <v>1</v>
      </c>
      <c r="T39" t="s">
        <v>45</v>
      </c>
      <c r="U39" t="s">
        <v>65</v>
      </c>
      <c r="V39" t="s">
        <v>47</v>
      </c>
      <c r="W39" t="s">
        <v>36</v>
      </c>
      <c r="X39" t="s">
        <v>37</v>
      </c>
      <c r="Y39" t="s">
        <v>37</v>
      </c>
      <c r="AA39">
        <v>11.37662338</v>
      </c>
      <c r="AB39">
        <v>12</v>
      </c>
      <c r="AC39">
        <v>11.37662338</v>
      </c>
      <c r="AD39" t="s">
        <v>139</v>
      </c>
      <c r="AE39" t="s">
        <v>40</v>
      </c>
      <c r="AF39" t="s">
        <v>41</v>
      </c>
      <c r="AI39">
        <f t="shared" si="0"/>
        <v>5</v>
      </c>
      <c r="AJ39">
        <f t="shared" si="1"/>
        <v>8.8881944173155887</v>
      </c>
    </row>
    <row r="40" spans="1:36" x14ac:dyDescent="0.2">
      <c r="A40">
        <v>221113</v>
      </c>
      <c r="B40" t="s">
        <v>138</v>
      </c>
      <c r="C40">
        <v>20857.14286</v>
      </c>
      <c r="D40" s="1">
        <v>38596</v>
      </c>
      <c r="E40" s="1">
        <v>38596</v>
      </c>
      <c r="F40">
        <v>1.9178081999999999E-2</v>
      </c>
      <c r="I40">
        <v>10</v>
      </c>
      <c r="K40">
        <v>79</v>
      </c>
      <c r="L40">
        <v>1</v>
      </c>
      <c r="M40">
        <v>5</v>
      </c>
      <c r="N40">
        <v>5</v>
      </c>
      <c r="O40">
        <v>400</v>
      </c>
      <c r="Q40">
        <v>2</v>
      </c>
      <c r="T40" t="s">
        <v>45</v>
      </c>
      <c r="U40" t="s">
        <v>65</v>
      </c>
      <c r="V40" t="s">
        <v>47</v>
      </c>
      <c r="W40" t="s">
        <v>36</v>
      </c>
      <c r="X40" t="s">
        <v>53</v>
      </c>
      <c r="Y40" t="s">
        <v>121</v>
      </c>
      <c r="Z40" t="s">
        <v>98</v>
      </c>
      <c r="AA40">
        <v>-20857.14</v>
      </c>
      <c r="AB40">
        <v>-400</v>
      </c>
      <c r="AC40">
        <v>20857.14286</v>
      </c>
      <c r="AD40" t="s">
        <v>140</v>
      </c>
      <c r="AE40" t="s">
        <v>40</v>
      </c>
      <c r="AF40" t="s">
        <v>41</v>
      </c>
      <c r="AI40">
        <f t="shared" si="0"/>
        <v>5</v>
      </c>
      <c r="AJ40">
        <f t="shared" si="1"/>
        <v>8.8881944173155887</v>
      </c>
    </row>
    <row r="41" spans="1:36" x14ac:dyDescent="0.2">
      <c r="A41">
        <v>221060</v>
      </c>
      <c r="B41" t="s">
        <v>141</v>
      </c>
      <c r="C41">
        <v>50.460829490000002</v>
      </c>
      <c r="D41" s="2">
        <v>39771</v>
      </c>
      <c r="E41" s="2">
        <v>40422</v>
      </c>
      <c r="F41">
        <v>1.7835616439999999</v>
      </c>
      <c r="I41">
        <v>3</v>
      </c>
      <c r="J41">
        <v>2</v>
      </c>
      <c r="K41">
        <v>5</v>
      </c>
      <c r="L41">
        <v>2.9090909090000001</v>
      </c>
      <c r="M41">
        <v>1</v>
      </c>
      <c r="N41">
        <v>1</v>
      </c>
      <c r="O41">
        <v>90</v>
      </c>
      <c r="Q41">
        <v>2</v>
      </c>
      <c r="T41" t="s">
        <v>64</v>
      </c>
      <c r="U41" t="s">
        <v>65</v>
      </c>
      <c r="V41" t="s">
        <v>47</v>
      </c>
      <c r="W41" t="s">
        <v>36</v>
      </c>
      <c r="X41" t="s">
        <v>37</v>
      </c>
      <c r="Y41" t="s">
        <v>37</v>
      </c>
      <c r="AA41">
        <v>50.460829490000002</v>
      </c>
      <c r="AB41">
        <v>90</v>
      </c>
      <c r="AC41">
        <v>50.460829490000002</v>
      </c>
      <c r="AD41" t="s">
        <v>142</v>
      </c>
      <c r="AE41" t="s">
        <v>40</v>
      </c>
      <c r="AF41" t="s">
        <v>41</v>
      </c>
      <c r="AI41">
        <f t="shared" si="0"/>
        <v>1</v>
      </c>
      <c r="AJ41">
        <f t="shared" si="1"/>
        <v>2.2360679774997898</v>
      </c>
    </row>
    <row r="42" spans="1:36" x14ac:dyDescent="0.2">
      <c r="A42">
        <v>221041</v>
      </c>
      <c r="B42" t="s">
        <v>143</v>
      </c>
      <c r="C42">
        <v>156.42857140000001</v>
      </c>
      <c r="D42" s="2">
        <v>38252</v>
      </c>
      <c r="E42" s="2">
        <v>38322</v>
      </c>
      <c r="F42">
        <v>0.19178082199999999</v>
      </c>
      <c r="I42">
        <v>9</v>
      </c>
      <c r="K42">
        <v>64</v>
      </c>
      <c r="L42">
        <v>1</v>
      </c>
      <c r="M42">
        <v>1.5</v>
      </c>
      <c r="N42">
        <v>3.3</v>
      </c>
      <c r="O42">
        <v>30</v>
      </c>
      <c r="Q42">
        <v>1</v>
      </c>
      <c r="T42" t="s">
        <v>144</v>
      </c>
      <c r="U42" t="s">
        <v>65</v>
      </c>
      <c r="V42" t="s">
        <v>145</v>
      </c>
      <c r="W42" t="s">
        <v>36</v>
      </c>
      <c r="X42" t="s">
        <v>53</v>
      </c>
      <c r="Y42" t="s">
        <v>121</v>
      </c>
      <c r="Z42" t="s">
        <v>38</v>
      </c>
      <c r="AA42">
        <v>-156.43</v>
      </c>
      <c r="AB42">
        <v>-30</v>
      </c>
      <c r="AC42">
        <v>156.42857140000001</v>
      </c>
      <c r="AD42" t="s">
        <v>146</v>
      </c>
      <c r="AE42" t="s">
        <v>40</v>
      </c>
      <c r="AF42" t="s">
        <v>41</v>
      </c>
      <c r="AI42">
        <f t="shared" si="0"/>
        <v>2.4</v>
      </c>
      <c r="AJ42">
        <f t="shared" si="1"/>
        <v>8</v>
      </c>
    </row>
    <row r="43" spans="1:36" x14ac:dyDescent="0.2">
      <c r="A43">
        <v>353030</v>
      </c>
      <c r="B43" t="s">
        <v>147</v>
      </c>
      <c r="C43">
        <v>3.3333333330000001</v>
      </c>
      <c r="D43">
        <v>1992</v>
      </c>
      <c r="E43">
        <v>1998</v>
      </c>
      <c r="F43">
        <v>6</v>
      </c>
      <c r="I43">
        <v>11</v>
      </c>
      <c r="K43">
        <v>95</v>
      </c>
      <c r="L43">
        <v>1</v>
      </c>
      <c r="M43">
        <v>2</v>
      </c>
      <c r="N43">
        <v>3</v>
      </c>
      <c r="O43">
        <v>20</v>
      </c>
      <c r="Q43">
        <v>1</v>
      </c>
      <c r="T43" t="s">
        <v>60</v>
      </c>
      <c r="U43" t="s">
        <v>61</v>
      </c>
      <c r="V43" t="s">
        <v>47</v>
      </c>
      <c r="W43" t="s">
        <v>36</v>
      </c>
      <c r="X43" t="s">
        <v>37</v>
      </c>
      <c r="Y43" t="s">
        <v>37</v>
      </c>
      <c r="Z43" t="s">
        <v>38</v>
      </c>
      <c r="AA43">
        <v>3.3333333330000001</v>
      </c>
      <c r="AB43">
        <v>20</v>
      </c>
      <c r="AC43">
        <v>3.3333333330000001</v>
      </c>
      <c r="AD43" t="s">
        <v>148</v>
      </c>
      <c r="AE43" t="s">
        <v>40</v>
      </c>
      <c r="AF43" t="s">
        <v>41</v>
      </c>
      <c r="AI43">
        <f t="shared" si="0"/>
        <v>2.5</v>
      </c>
      <c r="AJ43">
        <f t="shared" si="1"/>
        <v>9.7467943448089631</v>
      </c>
    </row>
    <row r="44" spans="1:36" x14ac:dyDescent="0.2">
      <c r="A44">
        <v>312020</v>
      </c>
      <c r="B44" t="s">
        <v>149</v>
      </c>
      <c r="C44">
        <v>0.8</v>
      </c>
      <c r="D44">
        <v>1993</v>
      </c>
      <c r="E44">
        <v>2009</v>
      </c>
      <c r="F44">
        <v>16</v>
      </c>
      <c r="I44">
        <v>8</v>
      </c>
      <c r="K44">
        <v>50</v>
      </c>
      <c r="L44">
        <v>1</v>
      </c>
      <c r="M44">
        <v>7</v>
      </c>
      <c r="N44">
        <v>7</v>
      </c>
      <c r="O44">
        <v>12.8</v>
      </c>
      <c r="Q44">
        <v>1</v>
      </c>
      <c r="S44" t="s">
        <v>44</v>
      </c>
      <c r="T44" t="s">
        <v>33</v>
      </c>
      <c r="U44" t="s">
        <v>34</v>
      </c>
      <c r="V44" t="s">
        <v>35</v>
      </c>
      <c r="X44" t="s">
        <v>50</v>
      </c>
      <c r="Y44" t="s">
        <v>51</v>
      </c>
      <c r="Z44" t="s">
        <v>71</v>
      </c>
      <c r="AA44">
        <v>-0.8</v>
      </c>
      <c r="AB44">
        <v>-12.8</v>
      </c>
      <c r="AC44">
        <v>0.8</v>
      </c>
      <c r="AD44" t="s">
        <v>150</v>
      </c>
      <c r="AE44" t="s">
        <v>40</v>
      </c>
      <c r="AF44" t="s">
        <v>41</v>
      </c>
      <c r="AI44">
        <f t="shared" si="0"/>
        <v>7</v>
      </c>
      <c r="AJ44">
        <f t="shared" si="1"/>
        <v>7.0710678118654755</v>
      </c>
    </row>
    <row r="45" spans="1:36" x14ac:dyDescent="0.2">
      <c r="A45">
        <v>211060</v>
      </c>
      <c r="B45" t="s">
        <v>151</v>
      </c>
      <c r="C45">
        <v>1</v>
      </c>
      <c r="D45">
        <v>1993</v>
      </c>
      <c r="E45">
        <v>2000</v>
      </c>
      <c r="F45">
        <v>7</v>
      </c>
      <c r="I45">
        <v>18</v>
      </c>
      <c r="K45">
        <v>254</v>
      </c>
      <c r="L45">
        <v>1</v>
      </c>
      <c r="M45">
        <v>4.5</v>
      </c>
      <c r="N45">
        <v>4.5</v>
      </c>
      <c r="O45">
        <v>7</v>
      </c>
      <c r="Q45">
        <v>2</v>
      </c>
      <c r="S45" t="s">
        <v>112</v>
      </c>
      <c r="T45" t="s">
        <v>87</v>
      </c>
      <c r="U45" t="s">
        <v>34</v>
      </c>
      <c r="V45" t="s">
        <v>124</v>
      </c>
      <c r="X45" t="s">
        <v>37</v>
      </c>
      <c r="Y45" t="s">
        <v>37</v>
      </c>
      <c r="Z45" t="s">
        <v>98</v>
      </c>
      <c r="AA45">
        <v>1</v>
      </c>
      <c r="AB45">
        <v>7</v>
      </c>
      <c r="AC45">
        <v>1</v>
      </c>
      <c r="AD45" t="s">
        <v>152</v>
      </c>
      <c r="AE45" t="s">
        <v>40</v>
      </c>
      <c r="AF45" t="s">
        <v>41</v>
      </c>
      <c r="AI45">
        <f t="shared" si="0"/>
        <v>4.5</v>
      </c>
      <c r="AJ45">
        <f t="shared" si="1"/>
        <v>15.937377450509228</v>
      </c>
    </row>
    <row r="46" spans="1:36" x14ac:dyDescent="0.2">
      <c r="A46">
        <v>211060</v>
      </c>
      <c r="B46" t="s">
        <v>151</v>
      </c>
      <c r="C46">
        <v>3.25</v>
      </c>
      <c r="D46">
        <v>2001</v>
      </c>
      <c r="E46">
        <v>2005</v>
      </c>
      <c r="F46">
        <v>4</v>
      </c>
      <c r="I46">
        <v>8</v>
      </c>
      <c r="K46">
        <v>50</v>
      </c>
      <c r="L46">
        <v>1</v>
      </c>
      <c r="M46">
        <v>4.5</v>
      </c>
      <c r="N46">
        <v>4.5</v>
      </c>
      <c r="O46">
        <v>13</v>
      </c>
      <c r="Q46">
        <v>2</v>
      </c>
      <c r="T46" t="s">
        <v>87</v>
      </c>
      <c r="U46" t="s">
        <v>34</v>
      </c>
      <c r="V46" t="s">
        <v>124</v>
      </c>
      <c r="W46" t="s">
        <v>36</v>
      </c>
      <c r="X46" t="s">
        <v>50</v>
      </c>
      <c r="Y46" t="s">
        <v>51</v>
      </c>
      <c r="Z46" t="s">
        <v>98</v>
      </c>
      <c r="AA46">
        <v>-3.25</v>
      </c>
      <c r="AB46">
        <v>-13</v>
      </c>
      <c r="AC46">
        <v>3.25</v>
      </c>
      <c r="AD46" t="s">
        <v>153</v>
      </c>
      <c r="AE46" t="s">
        <v>40</v>
      </c>
      <c r="AF46" t="s">
        <v>41</v>
      </c>
      <c r="AI46">
        <f t="shared" si="0"/>
        <v>4.5</v>
      </c>
      <c r="AJ46">
        <f t="shared" si="1"/>
        <v>7.0710678118654755</v>
      </c>
    </row>
    <row r="47" spans="1:36" x14ac:dyDescent="0.2">
      <c r="A47">
        <v>372020</v>
      </c>
      <c r="B47" t="s">
        <v>154</v>
      </c>
      <c r="C47">
        <v>8.1473214289999998</v>
      </c>
      <c r="D47" s="2">
        <v>34184</v>
      </c>
      <c r="E47" s="2">
        <v>34856</v>
      </c>
      <c r="F47">
        <v>1.8410958900000001</v>
      </c>
      <c r="I47">
        <v>22</v>
      </c>
      <c r="K47">
        <v>380</v>
      </c>
      <c r="L47">
        <v>1.24</v>
      </c>
      <c r="M47">
        <v>4.5</v>
      </c>
      <c r="N47">
        <v>6</v>
      </c>
      <c r="O47">
        <v>15</v>
      </c>
      <c r="Q47">
        <v>2</v>
      </c>
      <c r="T47" t="s">
        <v>45</v>
      </c>
      <c r="U47" t="s">
        <v>61</v>
      </c>
      <c r="V47" t="s">
        <v>47</v>
      </c>
      <c r="W47" t="s">
        <v>36</v>
      </c>
      <c r="X47" t="s">
        <v>37</v>
      </c>
      <c r="Y47" t="s">
        <v>37</v>
      </c>
      <c r="Z47" t="s">
        <v>38</v>
      </c>
      <c r="AA47">
        <v>8.1473214289999998</v>
      </c>
      <c r="AB47">
        <v>15</v>
      </c>
      <c r="AC47">
        <v>8.1473214289999998</v>
      </c>
      <c r="AD47" t="s">
        <v>155</v>
      </c>
      <c r="AE47" t="s">
        <v>40</v>
      </c>
      <c r="AF47" t="s">
        <v>41</v>
      </c>
      <c r="AI47">
        <f t="shared" si="0"/>
        <v>5.25</v>
      </c>
      <c r="AJ47">
        <f t="shared" si="1"/>
        <v>19.493588689617926</v>
      </c>
    </row>
    <row r="48" spans="1:36" x14ac:dyDescent="0.2">
      <c r="A48">
        <v>372020</v>
      </c>
      <c r="B48" t="s">
        <v>154</v>
      </c>
      <c r="C48">
        <v>44.512195120000001</v>
      </c>
      <c r="D48" s="2">
        <v>36360</v>
      </c>
      <c r="E48" s="1">
        <v>36647</v>
      </c>
      <c r="F48">
        <v>0.78630137</v>
      </c>
      <c r="I48">
        <v>20</v>
      </c>
      <c r="K48">
        <v>314</v>
      </c>
      <c r="L48">
        <v>1</v>
      </c>
      <c r="M48">
        <v>6.3</v>
      </c>
      <c r="N48">
        <v>6.3</v>
      </c>
      <c r="O48">
        <v>35</v>
      </c>
      <c r="Q48">
        <v>2</v>
      </c>
      <c r="T48" t="s">
        <v>45</v>
      </c>
      <c r="U48" t="s">
        <v>61</v>
      </c>
      <c r="V48" t="s">
        <v>47</v>
      </c>
      <c r="W48" t="s">
        <v>36</v>
      </c>
      <c r="X48" t="s">
        <v>37</v>
      </c>
      <c r="Y48" t="s">
        <v>37</v>
      </c>
      <c r="Z48" t="s">
        <v>38</v>
      </c>
      <c r="AA48">
        <v>44.512195120000001</v>
      </c>
      <c r="AB48">
        <v>35</v>
      </c>
      <c r="AC48">
        <v>44.512195120000001</v>
      </c>
      <c r="AD48" t="s">
        <v>156</v>
      </c>
      <c r="AE48" t="s">
        <v>40</v>
      </c>
      <c r="AF48" t="s">
        <v>41</v>
      </c>
      <c r="AI48">
        <f t="shared" si="0"/>
        <v>6.3</v>
      </c>
      <c r="AJ48">
        <f t="shared" si="1"/>
        <v>17.720045146669349</v>
      </c>
    </row>
    <row r="49" spans="1:36" x14ac:dyDescent="0.2">
      <c r="A49">
        <v>353010</v>
      </c>
      <c r="B49" t="s">
        <v>157</v>
      </c>
      <c r="C49">
        <v>8.5</v>
      </c>
      <c r="D49">
        <v>2003</v>
      </c>
      <c r="E49">
        <v>2005</v>
      </c>
      <c r="F49">
        <v>2</v>
      </c>
      <c r="I49">
        <v>6</v>
      </c>
      <c r="K49">
        <v>28</v>
      </c>
      <c r="L49">
        <v>1</v>
      </c>
      <c r="M49">
        <v>1</v>
      </c>
      <c r="N49">
        <v>6</v>
      </c>
      <c r="O49">
        <v>17</v>
      </c>
      <c r="Q49">
        <v>2</v>
      </c>
      <c r="T49" t="s">
        <v>60</v>
      </c>
      <c r="U49" t="s">
        <v>61</v>
      </c>
      <c r="V49" t="s">
        <v>47</v>
      </c>
      <c r="W49" t="s">
        <v>36</v>
      </c>
      <c r="X49" t="s">
        <v>37</v>
      </c>
      <c r="Y49" t="s">
        <v>37</v>
      </c>
      <c r="Z49" t="s">
        <v>38</v>
      </c>
      <c r="AA49">
        <v>8.5</v>
      </c>
      <c r="AB49">
        <v>17</v>
      </c>
      <c r="AC49">
        <v>8.5</v>
      </c>
      <c r="AD49" t="s">
        <v>158</v>
      </c>
      <c r="AE49" t="s">
        <v>40</v>
      </c>
      <c r="AF49" t="s">
        <v>41</v>
      </c>
      <c r="AI49">
        <f t="shared" si="0"/>
        <v>3.5</v>
      </c>
      <c r="AJ49">
        <f t="shared" si="1"/>
        <v>5.2915026221291814</v>
      </c>
    </row>
    <row r="50" spans="1:36" x14ac:dyDescent="0.2">
      <c r="A50">
        <v>353010</v>
      </c>
      <c r="B50" t="s">
        <v>157</v>
      </c>
      <c r="C50">
        <v>16.824837309999999</v>
      </c>
      <c r="D50" s="2">
        <v>33859</v>
      </c>
      <c r="E50" s="2">
        <v>35703</v>
      </c>
      <c r="F50">
        <v>5.0520547950000001</v>
      </c>
      <c r="H50">
        <v>6</v>
      </c>
      <c r="I50">
        <v>5</v>
      </c>
      <c r="K50">
        <v>20</v>
      </c>
      <c r="L50">
        <v>1</v>
      </c>
      <c r="M50">
        <v>1</v>
      </c>
      <c r="N50">
        <v>1</v>
      </c>
      <c r="O50">
        <v>85</v>
      </c>
      <c r="Q50">
        <v>2</v>
      </c>
      <c r="T50" t="s">
        <v>60</v>
      </c>
      <c r="U50" t="s">
        <v>61</v>
      </c>
      <c r="V50" t="s">
        <v>47</v>
      </c>
      <c r="W50" t="s">
        <v>36</v>
      </c>
      <c r="X50" t="s">
        <v>37</v>
      </c>
      <c r="Y50" t="s">
        <v>37</v>
      </c>
      <c r="Z50" t="s">
        <v>98</v>
      </c>
      <c r="AA50">
        <v>16.824837309999999</v>
      </c>
      <c r="AB50">
        <v>85</v>
      </c>
      <c r="AC50">
        <v>16.824837309999999</v>
      </c>
      <c r="AD50" t="s">
        <v>159</v>
      </c>
      <c r="AE50" t="s">
        <v>40</v>
      </c>
      <c r="AF50" t="s">
        <v>41</v>
      </c>
      <c r="AI50">
        <f t="shared" si="0"/>
        <v>1</v>
      </c>
      <c r="AJ50">
        <f t="shared" si="1"/>
        <v>4.4721359549995796</v>
      </c>
    </row>
    <row r="51" spans="1:36" x14ac:dyDescent="0.2">
      <c r="A51">
        <v>353010</v>
      </c>
      <c r="B51" t="s">
        <v>157</v>
      </c>
      <c r="C51">
        <v>25</v>
      </c>
      <c r="D51">
        <v>2005</v>
      </c>
      <c r="E51">
        <v>2006</v>
      </c>
      <c r="F51">
        <v>1</v>
      </c>
      <c r="I51">
        <v>11</v>
      </c>
      <c r="K51">
        <v>95</v>
      </c>
      <c r="L51">
        <v>1</v>
      </c>
      <c r="M51">
        <v>1</v>
      </c>
      <c r="N51">
        <v>4</v>
      </c>
      <c r="O51">
        <v>25</v>
      </c>
      <c r="Q51">
        <v>2</v>
      </c>
      <c r="T51" t="s">
        <v>60</v>
      </c>
      <c r="U51" t="s">
        <v>61</v>
      </c>
      <c r="V51" t="s">
        <v>47</v>
      </c>
      <c r="W51" t="s">
        <v>36</v>
      </c>
      <c r="X51" t="s">
        <v>37</v>
      </c>
      <c r="Y51" t="s">
        <v>37</v>
      </c>
      <c r="Z51" t="s">
        <v>38</v>
      </c>
      <c r="AA51">
        <v>25</v>
      </c>
      <c r="AB51">
        <v>25</v>
      </c>
      <c r="AC51">
        <v>25</v>
      </c>
      <c r="AD51" t="s">
        <v>160</v>
      </c>
      <c r="AE51" t="s">
        <v>40</v>
      </c>
      <c r="AF51" t="s">
        <v>41</v>
      </c>
      <c r="AI51">
        <f t="shared" si="0"/>
        <v>2.5</v>
      </c>
      <c r="AJ51">
        <f t="shared" si="1"/>
        <v>9.7467943448089631</v>
      </c>
    </row>
    <row r="52" spans="1:36" x14ac:dyDescent="0.2">
      <c r="A52">
        <v>311350</v>
      </c>
      <c r="B52" t="s">
        <v>161</v>
      </c>
      <c r="C52">
        <v>1.5</v>
      </c>
      <c r="D52">
        <v>1992</v>
      </c>
      <c r="E52">
        <v>2010</v>
      </c>
      <c r="F52">
        <v>18</v>
      </c>
      <c r="I52">
        <v>12</v>
      </c>
      <c r="K52">
        <v>113</v>
      </c>
      <c r="L52">
        <v>1</v>
      </c>
      <c r="M52">
        <v>4.5</v>
      </c>
      <c r="N52">
        <v>8.5</v>
      </c>
      <c r="O52">
        <v>27</v>
      </c>
      <c r="Q52">
        <v>1</v>
      </c>
      <c r="S52" t="s">
        <v>44</v>
      </c>
      <c r="T52" t="s">
        <v>45</v>
      </c>
      <c r="U52" t="s">
        <v>34</v>
      </c>
      <c r="V52" t="s">
        <v>35</v>
      </c>
      <c r="X52" t="s">
        <v>50</v>
      </c>
      <c r="Y52" t="s">
        <v>51</v>
      </c>
      <c r="Z52" t="s">
        <v>48</v>
      </c>
      <c r="AA52">
        <v>-1.5</v>
      </c>
      <c r="AB52">
        <v>-27</v>
      </c>
      <c r="AC52">
        <v>1.5</v>
      </c>
      <c r="AD52" t="s">
        <v>162</v>
      </c>
      <c r="AE52" t="s">
        <v>40</v>
      </c>
      <c r="AF52" t="s">
        <v>41</v>
      </c>
      <c r="AI52">
        <f t="shared" si="0"/>
        <v>6.5</v>
      </c>
      <c r="AJ52">
        <f t="shared" si="1"/>
        <v>10.63014581273465</v>
      </c>
    </row>
    <row r="53" spans="1:36" x14ac:dyDescent="0.2">
      <c r="A53">
        <v>312260</v>
      </c>
      <c r="B53" t="s">
        <v>165</v>
      </c>
      <c r="C53">
        <v>1.2</v>
      </c>
      <c r="D53">
        <v>2005</v>
      </c>
      <c r="E53">
        <v>2010</v>
      </c>
      <c r="F53">
        <v>5</v>
      </c>
      <c r="H53">
        <v>7</v>
      </c>
      <c r="I53">
        <v>15</v>
      </c>
      <c r="K53">
        <v>177</v>
      </c>
      <c r="L53">
        <v>1</v>
      </c>
      <c r="M53">
        <v>7</v>
      </c>
      <c r="N53">
        <v>7</v>
      </c>
      <c r="O53">
        <v>6</v>
      </c>
      <c r="Q53">
        <v>1</v>
      </c>
      <c r="T53" t="s">
        <v>45</v>
      </c>
      <c r="U53" t="s">
        <v>34</v>
      </c>
      <c r="V53" t="s">
        <v>35</v>
      </c>
      <c r="W53" t="s">
        <v>36</v>
      </c>
      <c r="X53" t="s">
        <v>37</v>
      </c>
      <c r="Y53" t="s">
        <v>37</v>
      </c>
      <c r="AA53">
        <v>1.2</v>
      </c>
      <c r="AB53">
        <v>6</v>
      </c>
      <c r="AC53">
        <v>1.2</v>
      </c>
      <c r="AD53" t="s">
        <v>166</v>
      </c>
      <c r="AE53" t="s">
        <v>40</v>
      </c>
      <c r="AF53" t="s">
        <v>41</v>
      </c>
      <c r="AI53">
        <f t="shared" si="0"/>
        <v>7</v>
      </c>
      <c r="AJ53">
        <f t="shared" si="1"/>
        <v>13.30413469565007</v>
      </c>
    </row>
    <row r="54" spans="1:36" x14ac:dyDescent="0.2">
      <c r="A54">
        <v>221050</v>
      </c>
      <c r="B54" t="s">
        <v>167</v>
      </c>
      <c r="C54">
        <v>4.1126760559999997</v>
      </c>
      <c r="D54" s="1">
        <v>34121</v>
      </c>
      <c r="E54" s="1">
        <v>35186</v>
      </c>
      <c r="F54">
        <v>2.9178082189999999</v>
      </c>
      <c r="I54">
        <v>5</v>
      </c>
      <c r="K54">
        <v>20</v>
      </c>
      <c r="L54">
        <v>1.5</v>
      </c>
      <c r="M54">
        <v>1</v>
      </c>
      <c r="N54">
        <v>1</v>
      </c>
      <c r="O54">
        <v>12</v>
      </c>
      <c r="Q54">
        <v>1</v>
      </c>
      <c r="T54" t="s">
        <v>45</v>
      </c>
      <c r="U54" t="s">
        <v>65</v>
      </c>
      <c r="V54" t="s">
        <v>47</v>
      </c>
      <c r="W54" t="s">
        <v>36</v>
      </c>
      <c r="X54" t="s">
        <v>50</v>
      </c>
      <c r="Y54" t="s">
        <v>51</v>
      </c>
      <c r="Z54" t="s">
        <v>38</v>
      </c>
      <c r="AA54">
        <v>-4.1100000000000003</v>
      </c>
      <c r="AB54">
        <v>-12</v>
      </c>
      <c r="AC54">
        <v>4.1126760559999997</v>
      </c>
      <c r="AD54" t="s">
        <v>168</v>
      </c>
      <c r="AE54" t="s">
        <v>40</v>
      </c>
      <c r="AF54" t="s">
        <v>41</v>
      </c>
      <c r="AI54">
        <f t="shared" si="0"/>
        <v>1</v>
      </c>
      <c r="AJ54">
        <f t="shared" si="1"/>
        <v>4.4721359549995796</v>
      </c>
    </row>
    <row r="55" spans="1:36" x14ac:dyDescent="0.2">
      <c r="A55">
        <v>351080</v>
      </c>
      <c r="B55" t="s">
        <v>169</v>
      </c>
      <c r="C55">
        <v>22.217391299999999</v>
      </c>
      <c r="D55" s="2">
        <v>39420</v>
      </c>
      <c r="E55" s="2">
        <v>39466</v>
      </c>
      <c r="F55">
        <v>0.12602739700000001</v>
      </c>
      <c r="I55">
        <v>5</v>
      </c>
      <c r="K55">
        <v>20</v>
      </c>
      <c r="L55">
        <v>1</v>
      </c>
      <c r="M55">
        <v>2</v>
      </c>
      <c r="N55">
        <v>2</v>
      </c>
      <c r="O55">
        <v>2.8</v>
      </c>
      <c r="Q55">
        <v>2</v>
      </c>
      <c r="T55" t="s">
        <v>82</v>
      </c>
      <c r="U55" t="s">
        <v>34</v>
      </c>
      <c r="V55" t="s">
        <v>35</v>
      </c>
      <c r="W55" t="s">
        <v>36</v>
      </c>
      <c r="X55" t="s">
        <v>50</v>
      </c>
      <c r="Y55" t="s">
        <v>51</v>
      </c>
      <c r="Z55" t="s">
        <v>98</v>
      </c>
      <c r="AA55">
        <v>-22.22</v>
      </c>
      <c r="AB55">
        <v>-2.8</v>
      </c>
      <c r="AC55">
        <v>22.217391299999999</v>
      </c>
      <c r="AD55" t="s">
        <v>170</v>
      </c>
      <c r="AE55" t="s">
        <v>40</v>
      </c>
      <c r="AF55" t="s">
        <v>41</v>
      </c>
      <c r="AI55">
        <f t="shared" si="0"/>
        <v>2</v>
      </c>
      <c r="AJ55">
        <f t="shared" si="1"/>
        <v>4.4721359549995796</v>
      </c>
    </row>
    <row r="56" spans="1:36" x14ac:dyDescent="0.2">
      <c r="A56">
        <v>372070</v>
      </c>
      <c r="B56" t="s">
        <v>171</v>
      </c>
      <c r="C56">
        <v>0.5</v>
      </c>
      <c r="D56">
        <v>1991</v>
      </c>
      <c r="E56">
        <v>2000</v>
      </c>
      <c r="F56">
        <v>9</v>
      </c>
      <c r="I56">
        <v>40</v>
      </c>
      <c r="J56">
        <v>10.00288817</v>
      </c>
      <c r="K56">
        <v>1257</v>
      </c>
      <c r="L56">
        <v>1</v>
      </c>
      <c r="M56">
        <v>14</v>
      </c>
      <c r="N56">
        <v>20</v>
      </c>
      <c r="O56">
        <v>4.5</v>
      </c>
      <c r="Q56">
        <v>2</v>
      </c>
      <c r="S56" t="s">
        <v>84</v>
      </c>
      <c r="T56" t="s">
        <v>45</v>
      </c>
      <c r="U56" t="s">
        <v>61</v>
      </c>
      <c r="V56" t="s">
        <v>35</v>
      </c>
      <c r="X56" t="s">
        <v>37</v>
      </c>
      <c r="Y56" t="s">
        <v>37</v>
      </c>
      <c r="Z56" t="s">
        <v>38</v>
      </c>
      <c r="AA56">
        <v>0.5</v>
      </c>
      <c r="AB56">
        <v>4.5</v>
      </c>
      <c r="AC56">
        <v>0.5</v>
      </c>
      <c r="AD56" t="s">
        <v>172</v>
      </c>
      <c r="AE56" t="s">
        <v>40</v>
      </c>
      <c r="AF56" t="s">
        <v>41</v>
      </c>
      <c r="AI56">
        <f t="shared" si="0"/>
        <v>17</v>
      </c>
      <c r="AJ56">
        <f t="shared" si="1"/>
        <v>35.454195802471673</v>
      </c>
    </row>
    <row r="57" spans="1:36" x14ac:dyDescent="0.2">
      <c r="A57">
        <v>372070</v>
      </c>
      <c r="B57" t="s">
        <v>171</v>
      </c>
      <c r="C57">
        <v>0.5</v>
      </c>
      <c r="D57">
        <v>2000</v>
      </c>
      <c r="E57">
        <v>2008</v>
      </c>
      <c r="F57">
        <v>8</v>
      </c>
      <c r="I57">
        <v>40</v>
      </c>
      <c r="J57">
        <v>10.00288817</v>
      </c>
      <c r="K57">
        <v>1257</v>
      </c>
      <c r="L57">
        <v>1</v>
      </c>
      <c r="M57">
        <v>14</v>
      </c>
      <c r="N57">
        <v>20</v>
      </c>
      <c r="O57">
        <v>4</v>
      </c>
      <c r="Q57">
        <v>2</v>
      </c>
      <c r="S57" t="s">
        <v>84</v>
      </c>
      <c r="T57" t="s">
        <v>45</v>
      </c>
      <c r="U57" t="s">
        <v>61</v>
      </c>
      <c r="V57" t="s">
        <v>35</v>
      </c>
      <c r="X57" t="s">
        <v>37</v>
      </c>
      <c r="Y57" t="s">
        <v>37</v>
      </c>
      <c r="Z57" t="s">
        <v>38</v>
      </c>
      <c r="AA57">
        <v>0.5</v>
      </c>
      <c r="AB57">
        <v>4</v>
      </c>
      <c r="AC57">
        <v>0.5</v>
      </c>
      <c r="AD57" t="s">
        <v>173</v>
      </c>
      <c r="AE57" t="s">
        <v>40</v>
      </c>
      <c r="AF57" t="s">
        <v>41</v>
      </c>
      <c r="AI57">
        <f t="shared" si="0"/>
        <v>17</v>
      </c>
      <c r="AJ57">
        <f t="shared" si="1"/>
        <v>35.454195802471673</v>
      </c>
    </row>
    <row r="58" spans="1:36" x14ac:dyDescent="0.2">
      <c r="A58">
        <v>221171</v>
      </c>
      <c r="B58" t="s">
        <v>175</v>
      </c>
      <c r="C58">
        <v>2.1611842110000001</v>
      </c>
      <c r="D58" s="1">
        <v>39479</v>
      </c>
      <c r="E58" s="1">
        <v>40391</v>
      </c>
      <c r="F58">
        <v>2.4986301370000001</v>
      </c>
      <c r="H58">
        <v>10</v>
      </c>
      <c r="I58">
        <v>8</v>
      </c>
      <c r="J58">
        <v>6</v>
      </c>
      <c r="K58">
        <v>38</v>
      </c>
      <c r="L58">
        <v>1.3333333329999999</v>
      </c>
      <c r="M58">
        <v>3</v>
      </c>
      <c r="N58">
        <v>8</v>
      </c>
      <c r="O58">
        <v>5.4</v>
      </c>
      <c r="Q58">
        <v>1</v>
      </c>
      <c r="T58" t="s">
        <v>176</v>
      </c>
      <c r="U58" t="s">
        <v>176</v>
      </c>
      <c r="V58" t="s">
        <v>176</v>
      </c>
      <c r="W58" t="s">
        <v>36</v>
      </c>
      <c r="X58" t="s">
        <v>50</v>
      </c>
      <c r="Y58" t="s">
        <v>51</v>
      </c>
      <c r="Z58" t="s">
        <v>38</v>
      </c>
      <c r="AA58">
        <v>-2.16</v>
      </c>
      <c r="AB58">
        <v>-5.4</v>
      </c>
      <c r="AC58">
        <v>2.1611842110000001</v>
      </c>
      <c r="AD58" t="s">
        <v>177</v>
      </c>
      <c r="AE58" t="s">
        <v>40</v>
      </c>
      <c r="AF58" t="s">
        <v>41</v>
      </c>
      <c r="AI58">
        <f t="shared" si="0"/>
        <v>5.5</v>
      </c>
      <c r="AJ58">
        <f t="shared" si="1"/>
        <v>6.164414002968976</v>
      </c>
    </row>
    <row r="59" spans="1:36" x14ac:dyDescent="0.2">
      <c r="A59">
        <v>221171</v>
      </c>
      <c r="B59" t="s">
        <v>175</v>
      </c>
      <c r="C59">
        <v>6.960465116</v>
      </c>
      <c r="D59" s="1">
        <v>39264</v>
      </c>
      <c r="E59" s="1">
        <v>39479</v>
      </c>
      <c r="F59">
        <v>0.58904109599999999</v>
      </c>
      <c r="H59">
        <v>10</v>
      </c>
      <c r="I59">
        <v>8</v>
      </c>
      <c r="J59">
        <v>6</v>
      </c>
      <c r="K59">
        <v>38</v>
      </c>
      <c r="L59">
        <v>1.3333333329999999</v>
      </c>
      <c r="M59">
        <v>3</v>
      </c>
      <c r="N59">
        <v>8</v>
      </c>
      <c r="O59">
        <v>4.0999999999999996</v>
      </c>
      <c r="Q59">
        <v>1</v>
      </c>
      <c r="T59" t="s">
        <v>176</v>
      </c>
      <c r="U59" t="s">
        <v>176</v>
      </c>
      <c r="V59" t="s">
        <v>176</v>
      </c>
      <c r="W59" t="s">
        <v>36</v>
      </c>
      <c r="X59" t="s">
        <v>37</v>
      </c>
      <c r="Y59" t="s">
        <v>37</v>
      </c>
      <c r="Z59" t="s">
        <v>38</v>
      </c>
      <c r="AA59">
        <v>6.960465116</v>
      </c>
      <c r="AB59">
        <v>4.0999999999999996</v>
      </c>
      <c r="AC59">
        <v>6.960465116</v>
      </c>
      <c r="AD59" t="s">
        <v>178</v>
      </c>
      <c r="AE59" t="s">
        <v>40</v>
      </c>
      <c r="AF59" t="s">
        <v>41</v>
      </c>
      <c r="AI59">
        <f t="shared" si="0"/>
        <v>5.5</v>
      </c>
      <c r="AJ59">
        <f t="shared" si="1"/>
        <v>6.164414002968976</v>
      </c>
    </row>
    <row r="60" spans="1:36" x14ac:dyDescent="0.2">
      <c r="A60">
        <v>383020</v>
      </c>
      <c r="B60" t="s">
        <v>179</v>
      </c>
      <c r="C60">
        <v>34.21875</v>
      </c>
      <c r="D60" s="2">
        <v>40667</v>
      </c>
      <c r="E60" s="2">
        <v>40763</v>
      </c>
      <c r="F60">
        <v>0.26301369899999999</v>
      </c>
      <c r="I60">
        <v>20</v>
      </c>
      <c r="K60">
        <v>300</v>
      </c>
      <c r="L60">
        <v>1</v>
      </c>
      <c r="M60">
        <v>4.5</v>
      </c>
      <c r="N60">
        <v>9.5</v>
      </c>
      <c r="O60">
        <v>9</v>
      </c>
      <c r="Q60">
        <v>1</v>
      </c>
      <c r="T60" t="s">
        <v>60</v>
      </c>
      <c r="U60" t="s">
        <v>164</v>
      </c>
      <c r="V60" t="s">
        <v>124</v>
      </c>
      <c r="W60" t="s">
        <v>36</v>
      </c>
      <c r="X60" t="s">
        <v>37</v>
      </c>
      <c r="Y60" t="s">
        <v>37</v>
      </c>
      <c r="Z60" t="s">
        <v>38</v>
      </c>
      <c r="AA60">
        <v>34.21875</v>
      </c>
      <c r="AB60">
        <v>9</v>
      </c>
      <c r="AC60">
        <v>34.21875</v>
      </c>
      <c r="AD60" t="s">
        <v>180</v>
      </c>
      <c r="AE60" t="s">
        <v>40</v>
      </c>
      <c r="AF60" t="s">
        <v>41</v>
      </c>
      <c r="AI60">
        <f t="shared" si="0"/>
        <v>7</v>
      </c>
      <c r="AJ60">
        <f t="shared" si="1"/>
        <v>17.320508075688775</v>
      </c>
    </row>
    <row r="61" spans="1:36" x14ac:dyDescent="0.2">
      <c r="A61">
        <v>383020</v>
      </c>
      <c r="B61" t="s">
        <v>179</v>
      </c>
      <c r="C61">
        <v>73</v>
      </c>
      <c r="D61" s="2">
        <v>40786</v>
      </c>
      <c r="E61" s="2">
        <v>40846</v>
      </c>
      <c r="F61">
        <v>0.16438356200000001</v>
      </c>
      <c r="I61">
        <v>20</v>
      </c>
      <c r="K61">
        <v>300</v>
      </c>
      <c r="L61">
        <v>1</v>
      </c>
      <c r="M61">
        <v>4.5</v>
      </c>
      <c r="N61">
        <v>9.5</v>
      </c>
      <c r="O61">
        <v>12</v>
      </c>
      <c r="Q61">
        <v>1</v>
      </c>
      <c r="T61" t="s">
        <v>60</v>
      </c>
      <c r="U61" t="s">
        <v>164</v>
      </c>
      <c r="V61" t="s">
        <v>124</v>
      </c>
      <c r="W61" t="s">
        <v>36</v>
      </c>
      <c r="X61" t="s">
        <v>37</v>
      </c>
      <c r="Y61" t="s">
        <v>37</v>
      </c>
      <c r="Z61" t="s">
        <v>38</v>
      </c>
      <c r="AA61">
        <v>73</v>
      </c>
      <c r="AB61">
        <v>12</v>
      </c>
      <c r="AC61">
        <v>73</v>
      </c>
      <c r="AD61" t="s">
        <v>181</v>
      </c>
      <c r="AE61" t="s">
        <v>40</v>
      </c>
      <c r="AF61" t="s">
        <v>41</v>
      </c>
      <c r="AI61">
        <f t="shared" si="0"/>
        <v>7</v>
      </c>
      <c r="AJ61">
        <f t="shared" si="1"/>
        <v>17.320508075688775</v>
      </c>
    </row>
    <row r="62" spans="1:36" x14ac:dyDescent="0.2">
      <c r="A62">
        <v>371051</v>
      </c>
      <c r="B62" t="s">
        <v>182</v>
      </c>
      <c r="C62">
        <v>2</v>
      </c>
      <c r="D62">
        <v>1993</v>
      </c>
      <c r="E62">
        <v>1998</v>
      </c>
      <c r="F62">
        <v>5</v>
      </c>
      <c r="I62">
        <v>10</v>
      </c>
      <c r="J62">
        <v>2.5146481010000001</v>
      </c>
      <c r="K62">
        <v>79</v>
      </c>
      <c r="L62">
        <v>1</v>
      </c>
      <c r="M62">
        <v>7</v>
      </c>
      <c r="N62">
        <v>7</v>
      </c>
      <c r="O62">
        <v>10</v>
      </c>
      <c r="Q62">
        <v>1</v>
      </c>
      <c r="S62" t="s">
        <v>84</v>
      </c>
      <c r="T62" t="s">
        <v>45</v>
      </c>
      <c r="U62" t="s">
        <v>61</v>
      </c>
      <c r="V62" t="s">
        <v>47</v>
      </c>
      <c r="X62" t="s">
        <v>53</v>
      </c>
      <c r="Y62" t="s">
        <v>174</v>
      </c>
      <c r="Z62" t="s">
        <v>38</v>
      </c>
      <c r="AA62">
        <v>2</v>
      </c>
      <c r="AB62">
        <v>10</v>
      </c>
      <c r="AC62">
        <v>2</v>
      </c>
      <c r="AD62" t="s">
        <v>183</v>
      </c>
      <c r="AE62" t="s">
        <v>40</v>
      </c>
      <c r="AF62" t="s">
        <v>41</v>
      </c>
      <c r="AI62">
        <f t="shared" si="0"/>
        <v>7</v>
      </c>
      <c r="AJ62">
        <f t="shared" si="1"/>
        <v>8.8881944173155887</v>
      </c>
    </row>
    <row r="63" spans="1:36" x14ac:dyDescent="0.2">
      <c r="A63">
        <v>358057</v>
      </c>
      <c r="B63" t="s">
        <v>184</v>
      </c>
      <c r="C63">
        <v>3</v>
      </c>
      <c r="D63">
        <v>2004</v>
      </c>
      <c r="E63">
        <v>2011</v>
      </c>
      <c r="F63">
        <v>7</v>
      </c>
      <c r="I63">
        <v>31</v>
      </c>
      <c r="J63">
        <v>7.7523859379999998</v>
      </c>
      <c r="K63">
        <v>755</v>
      </c>
      <c r="L63">
        <v>1</v>
      </c>
      <c r="M63">
        <v>4</v>
      </c>
      <c r="N63">
        <v>8</v>
      </c>
      <c r="O63">
        <v>21</v>
      </c>
      <c r="Q63">
        <v>2</v>
      </c>
      <c r="S63" t="s">
        <v>59</v>
      </c>
      <c r="T63" t="s">
        <v>45</v>
      </c>
      <c r="U63" t="s">
        <v>34</v>
      </c>
      <c r="V63" t="s">
        <v>47</v>
      </c>
      <c r="X63" t="s">
        <v>37</v>
      </c>
      <c r="Y63" t="s">
        <v>37</v>
      </c>
      <c r="Z63" t="s">
        <v>38</v>
      </c>
      <c r="AA63">
        <v>3</v>
      </c>
      <c r="AB63">
        <v>21</v>
      </c>
      <c r="AC63">
        <v>3</v>
      </c>
      <c r="AD63" t="s">
        <v>185</v>
      </c>
      <c r="AE63" t="s">
        <v>40</v>
      </c>
      <c r="AF63" t="s">
        <v>41</v>
      </c>
      <c r="AI63">
        <f t="shared" si="0"/>
        <v>6</v>
      </c>
      <c r="AJ63">
        <f t="shared" si="1"/>
        <v>27.477263328068172</v>
      </c>
    </row>
    <row r="64" spans="1:36" x14ac:dyDescent="0.2">
      <c r="A64">
        <v>358057</v>
      </c>
      <c r="B64" t="s">
        <v>184</v>
      </c>
      <c r="C64">
        <v>5</v>
      </c>
      <c r="D64">
        <v>1993</v>
      </c>
      <c r="E64">
        <v>1998</v>
      </c>
      <c r="F64">
        <v>5</v>
      </c>
      <c r="I64">
        <v>30</v>
      </c>
      <c r="J64">
        <v>7.501502984</v>
      </c>
      <c r="K64">
        <v>707</v>
      </c>
      <c r="L64">
        <v>1</v>
      </c>
      <c r="M64">
        <v>4</v>
      </c>
      <c r="N64">
        <v>8</v>
      </c>
      <c r="O64">
        <v>25</v>
      </c>
      <c r="Q64">
        <v>2</v>
      </c>
      <c r="S64" t="s">
        <v>59</v>
      </c>
      <c r="T64" t="s">
        <v>45</v>
      </c>
      <c r="U64" t="s">
        <v>34</v>
      </c>
      <c r="V64" t="s">
        <v>47</v>
      </c>
      <c r="X64" t="s">
        <v>37</v>
      </c>
      <c r="Y64" t="s">
        <v>37</v>
      </c>
      <c r="Z64" t="s">
        <v>71</v>
      </c>
      <c r="AA64">
        <v>5</v>
      </c>
      <c r="AB64">
        <v>25</v>
      </c>
      <c r="AC64">
        <v>5</v>
      </c>
      <c r="AD64" t="s">
        <v>186</v>
      </c>
      <c r="AE64" t="s">
        <v>40</v>
      </c>
      <c r="AF64" t="s">
        <v>41</v>
      </c>
      <c r="AI64">
        <f t="shared" si="0"/>
        <v>6</v>
      </c>
      <c r="AJ64">
        <f t="shared" si="1"/>
        <v>26.589471600616662</v>
      </c>
    </row>
    <row r="65" spans="1:36" x14ac:dyDescent="0.2">
      <c r="A65">
        <v>323120</v>
      </c>
      <c r="B65" t="s">
        <v>188</v>
      </c>
      <c r="C65">
        <v>1</v>
      </c>
      <c r="D65">
        <v>1990</v>
      </c>
      <c r="E65">
        <v>1996</v>
      </c>
      <c r="F65">
        <v>6</v>
      </c>
      <c r="I65">
        <v>30</v>
      </c>
      <c r="J65">
        <v>25</v>
      </c>
      <c r="K65">
        <v>589</v>
      </c>
      <c r="L65">
        <v>1.2</v>
      </c>
      <c r="M65">
        <v>6.6</v>
      </c>
      <c r="N65">
        <v>8.6999999999999993</v>
      </c>
      <c r="O65">
        <v>6</v>
      </c>
      <c r="Q65">
        <v>1</v>
      </c>
      <c r="S65" t="s">
        <v>135</v>
      </c>
      <c r="T65" t="s">
        <v>96</v>
      </c>
      <c r="U65" t="s">
        <v>68</v>
      </c>
      <c r="V65" t="s">
        <v>69</v>
      </c>
      <c r="X65" t="s">
        <v>37</v>
      </c>
      <c r="Y65" t="s">
        <v>37</v>
      </c>
      <c r="Z65" t="s">
        <v>38</v>
      </c>
      <c r="AA65">
        <v>1</v>
      </c>
      <c r="AB65">
        <v>6</v>
      </c>
      <c r="AC65">
        <v>1</v>
      </c>
      <c r="AD65" t="s">
        <v>189</v>
      </c>
      <c r="AE65" t="s">
        <v>40</v>
      </c>
      <c r="AF65" t="s">
        <v>41</v>
      </c>
      <c r="AI65">
        <f t="shared" si="0"/>
        <v>7.6499999999999995</v>
      </c>
      <c r="AJ65">
        <f t="shared" si="1"/>
        <v>24.269322199023193</v>
      </c>
    </row>
    <row r="66" spans="1:36" x14ac:dyDescent="0.2">
      <c r="A66">
        <v>323120</v>
      </c>
      <c r="B66" t="s">
        <v>188</v>
      </c>
      <c r="C66">
        <v>1</v>
      </c>
      <c r="D66">
        <v>2002</v>
      </c>
      <c r="E66">
        <v>2003</v>
      </c>
      <c r="F66">
        <v>1</v>
      </c>
      <c r="I66">
        <v>30</v>
      </c>
      <c r="J66">
        <v>25</v>
      </c>
      <c r="K66">
        <v>589</v>
      </c>
      <c r="L66">
        <v>1.2</v>
      </c>
      <c r="M66">
        <v>4.5</v>
      </c>
      <c r="N66">
        <v>13.5</v>
      </c>
      <c r="O66">
        <v>1</v>
      </c>
      <c r="Q66">
        <v>1</v>
      </c>
      <c r="S66" t="s">
        <v>135</v>
      </c>
      <c r="T66" t="s">
        <v>96</v>
      </c>
      <c r="U66" t="s">
        <v>68</v>
      </c>
      <c r="V66" t="s">
        <v>69</v>
      </c>
      <c r="X66" t="s">
        <v>37</v>
      </c>
      <c r="Y66" t="s">
        <v>37</v>
      </c>
      <c r="Z66" t="s">
        <v>48</v>
      </c>
      <c r="AA66">
        <v>1</v>
      </c>
      <c r="AB66">
        <v>1</v>
      </c>
      <c r="AC66">
        <v>1</v>
      </c>
      <c r="AD66" t="s">
        <v>190</v>
      </c>
      <c r="AE66" t="s">
        <v>40</v>
      </c>
      <c r="AF66" t="s">
        <v>41</v>
      </c>
      <c r="AI66">
        <f t="shared" si="0"/>
        <v>9</v>
      </c>
      <c r="AJ66">
        <f t="shared" si="1"/>
        <v>24.269322199023193</v>
      </c>
    </row>
    <row r="67" spans="1:36" x14ac:dyDescent="0.2">
      <c r="A67">
        <v>323120</v>
      </c>
      <c r="B67" t="s">
        <v>188</v>
      </c>
      <c r="C67">
        <v>1</v>
      </c>
      <c r="D67">
        <v>2011</v>
      </c>
      <c r="E67">
        <v>2014</v>
      </c>
      <c r="F67">
        <v>3</v>
      </c>
      <c r="I67">
        <v>30</v>
      </c>
      <c r="J67">
        <v>25</v>
      </c>
      <c r="K67">
        <v>589</v>
      </c>
      <c r="L67">
        <v>1.2</v>
      </c>
      <c r="M67">
        <v>7.2</v>
      </c>
      <c r="N67">
        <v>7.2</v>
      </c>
      <c r="O67">
        <v>3</v>
      </c>
      <c r="Q67">
        <v>1</v>
      </c>
      <c r="S67" t="s">
        <v>135</v>
      </c>
      <c r="T67" t="s">
        <v>96</v>
      </c>
      <c r="U67" t="s">
        <v>68</v>
      </c>
      <c r="V67" t="s">
        <v>69</v>
      </c>
      <c r="X67" t="s">
        <v>37</v>
      </c>
      <c r="Y67" t="s">
        <v>37</v>
      </c>
      <c r="Z67" t="s">
        <v>48</v>
      </c>
      <c r="AA67">
        <v>1</v>
      </c>
      <c r="AB67">
        <v>3</v>
      </c>
      <c r="AC67">
        <v>1</v>
      </c>
      <c r="AD67" t="s">
        <v>191</v>
      </c>
      <c r="AE67" t="s">
        <v>40</v>
      </c>
      <c r="AF67" t="s">
        <v>41</v>
      </c>
      <c r="AI67">
        <f t="shared" ref="AI67:AI130" si="2">AVERAGE(M67,N67)</f>
        <v>7.2</v>
      </c>
      <c r="AJ67">
        <f t="shared" ref="AJ67:AJ130" si="3">SQRT(K67)</f>
        <v>24.269322199023193</v>
      </c>
    </row>
    <row r="68" spans="1:36" x14ac:dyDescent="0.2">
      <c r="A68">
        <v>323120</v>
      </c>
      <c r="B68" t="s">
        <v>188</v>
      </c>
      <c r="C68">
        <v>18</v>
      </c>
      <c r="D68">
        <v>1997</v>
      </c>
      <c r="E68">
        <v>1998</v>
      </c>
      <c r="F68">
        <v>1</v>
      </c>
      <c r="I68">
        <v>30</v>
      </c>
      <c r="J68">
        <v>25</v>
      </c>
      <c r="K68">
        <v>589</v>
      </c>
      <c r="L68">
        <v>1.2</v>
      </c>
      <c r="M68">
        <v>6.6</v>
      </c>
      <c r="N68">
        <v>8.4</v>
      </c>
      <c r="O68">
        <v>18</v>
      </c>
      <c r="Q68">
        <v>1</v>
      </c>
      <c r="S68" t="s">
        <v>135</v>
      </c>
      <c r="T68" t="s">
        <v>96</v>
      </c>
      <c r="U68" t="s">
        <v>68</v>
      </c>
      <c r="V68" t="s">
        <v>69</v>
      </c>
      <c r="X68" t="s">
        <v>37</v>
      </c>
      <c r="Y68" t="s">
        <v>37</v>
      </c>
      <c r="Z68" t="s">
        <v>48</v>
      </c>
      <c r="AA68">
        <v>18</v>
      </c>
      <c r="AB68">
        <v>18</v>
      </c>
      <c r="AC68">
        <v>18</v>
      </c>
      <c r="AD68" t="s">
        <v>192</v>
      </c>
      <c r="AE68" t="s">
        <v>40</v>
      </c>
      <c r="AF68" t="s">
        <v>41</v>
      </c>
      <c r="AI68">
        <f t="shared" si="2"/>
        <v>7.5</v>
      </c>
      <c r="AJ68">
        <f t="shared" si="3"/>
        <v>24.269322199023193</v>
      </c>
    </row>
    <row r="69" spans="1:36" x14ac:dyDescent="0.2">
      <c r="A69">
        <v>283240</v>
      </c>
      <c r="B69" t="s">
        <v>193</v>
      </c>
      <c r="C69">
        <v>40.109890110000002</v>
      </c>
      <c r="D69" s="1">
        <v>35886</v>
      </c>
      <c r="E69" s="1">
        <v>35977</v>
      </c>
      <c r="F69">
        <v>0.249315068</v>
      </c>
      <c r="H69">
        <v>13</v>
      </c>
      <c r="I69">
        <v>12</v>
      </c>
      <c r="K69">
        <v>113</v>
      </c>
      <c r="L69">
        <v>1</v>
      </c>
      <c r="M69">
        <v>7.9</v>
      </c>
      <c r="N69">
        <v>7.9</v>
      </c>
      <c r="O69">
        <v>10</v>
      </c>
      <c r="Q69">
        <v>1</v>
      </c>
      <c r="T69" t="s">
        <v>82</v>
      </c>
      <c r="U69" t="s">
        <v>34</v>
      </c>
      <c r="V69" t="s">
        <v>47</v>
      </c>
      <c r="W69" t="s">
        <v>36</v>
      </c>
      <c r="X69" t="s">
        <v>37</v>
      </c>
      <c r="Y69" t="s">
        <v>37</v>
      </c>
      <c r="Z69" t="s">
        <v>38</v>
      </c>
      <c r="AA69">
        <v>40.109890110000002</v>
      </c>
      <c r="AB69">
        <v>10</v>
      </c>
      <c r="AC69">
        <v>40.109890110000002</v>
      </c>
      <c r="AD69" t="s">
        <v>194</v>
      </c>
      <c r="AE69" t="s">
        <v>40</v>
      </c>
      <c r="AF69" t="s">
        <v>41</v>
      </c>
      <c r="AI69">
        <f t="shared" si="2"/>
        <v>7.9</v>
      </c>
      <c r="AJ69">
        <f t="shared" si="3"/>
        <v>10.63014581273465</v>
      </c>
    </row>
    <row r="70" spans="1:36" x14ac:dyDescent="0.2">
      <c r="A70">
        <v>311020</v>
      </c>
      <c r="B70" t="s">
        <v>195</v>
      </c>
      <c r="C70">
        <v>1.5</v>
      </c>
      <c r="D70">
        <v>2006</v>
      </c>
      <c r="E70">
        <v>2008</v>
      </c>
      <c r="F70">
        <v>2</v>
      </c>
      <c r="I70">
        <v>2</v>
      </c>
      <c r="K70">
        <v>3</v>
      </c>
      <c r="L70">
        <v>1</v>
      </c>
      <c r="M70">
        <v>0.7</v>
      </c>
      <c r="N70">
        <v>1.1000000000000001</v>
      </c>
      <c r="O70">
        <v>3</v>
      </c>
      <c r="Q70">
        <v>1</v>
      </c>
      <c r="T70" t="s">
        <v>45</v>
      </c>
      <c r="U70" t="s">
        <v>46</v>
      </c>
      <c r="V70" t="s">
        <v>35</v>
      </c>
      <c r="W70" t="s">
        <v>36</v>
      </c>
      <c r="X70" t="s">
        <v>50</v>
      </c>
      <c r="Y70" t="s">
        <v>51</v>
      </c>
      <c r="Z70" t="s">
        <v>52</v>
      </c>
      <c r="AA70">
        <v>-1.5</v>
      </c>
      <c r="AB70">
        <v>-3</v>
      </c>
      <c r="AC70">
        <v>1.5</v>
      </c>
      <c r="AD70" t="s">
        <v>196</v>
      </c>
      <c r="AE70" t="s">
        <v>40</v>
      </c>
      <c r="AF70" t="s">
        <v>41</v>
      </c>
      <c r="AI70">
        <f t="shared" si="2"/>
        <v>0.9</v>
      </c>
      <c r="AJ70">
        <f t="shared" si="3"/>
        <v>1.7320508075688772</v>
      </c>
    </row>
    <row r="71" spans="1:36" x14ac:dyDescent="0.2">
      <c r="A71">
        <v>311020</v>
      </c>
      <c r="B71" t="s">
        <v>195</v>
      </c>
      <c r="C71">
        <v>4</v>
      </c>
      <c r="D71">
        <v>2005</v>
      </c>
      <c r="E71">
        <v>2006</v>
      </c>
      <c r="F71">
        <v>1</v>
      </c>
      <c r="I71">
        <v>2</v>
      </c>
      <c r="K71">
        <v>3</v>
      </c>
      <c r="L71">
        <v>1</v>
      </c>
      <c r="M71">
        <v>0.7</v>
      </c>
      <c r="N71">
        <v>1</v>
      </c>
      <c r="O71">
        <v>4</v>
      </c>
      <c r="Q71">
        <v>1</v>
      </c>
      <c r="T71" t="s">
        <v>45</v>
      </c>
      <c r="U71" t="s">
        <v>46</v>
      </c>
      <c r="V71" t="s">
        <v>35</v>
      </c>
      <c r="W71" t="s">
        <v>36</v>
      </c>
      <c r="X71" t="s">
        <v>37</v>
      </c>
      <c r="Y71" t="s">
        <v>37</v>
      </c>
      <c r="Z71" t="s">
        <v>52</v>
      </c>
      <c r="AA71">
        <v>4</v>
      </c>
      <c r="AB71">
        <v>4</v>
      </c>
      <c r="AC71">
        <v>4</v>
      </c>
      <c r="AD71" t="s">
        <v>197</v>
      </c>
      <c r="AE71" t="s">
        <v>40</v>
      </c>
      <c r="AF71" t="s">
        <v>41</v>
      </c>
      <c r="AI71">
        <f t="shared" si="2"/>
        <v>0.85</v>
      </c>
      <c r="AJ71">
        <f t="shared" si="3"/>
        <v>1.7320508075688772</v>
      </c>
    </row>
    <row r="72" spans="1:36" x14ac:dyDescent="0.2">
      <c r="A72">
        <v>311020</v>
      </c>
      <c r="B72" t="s">
        <v>195</v>
      </c>
      <c r="C72">
        <v>4.5</v>
      </c>
      <c r="D72">
        <v>1999</v>
      </c>
      <c r="E72">
        <v>2001</v>
      </c>
      <c r="F72">
        <v>2</v>
      </c>
      <c r="I72">
        <v>2</v>
      </c>
      <c r="K72">
        <v>3</v>
      </c>
      <c r="L72">
        <v>1</v>
      </c>
      <c r="M72">
        <v>0.7</v>
      </c>
      <c r="N72">
        <v>1</v>
      </c>
      <c r="O72">
        <v>9</v>
      </c>
      <c r="Q72">
        <v>1</v>
      </c>
      <c r="T72" t="s">
        <v>45</v>
      </c>
      <c r="U72" t="s">
        <v>46</v>
      </c>
      <c r="V72" t="s">
        <v>35</v>
      </c>
      <c r="W72" t="s">
        <v>36</v>
      </c>
      <c r="X72" t="s">
        <v>50</v>
      </c>
      <c r="Y72" t="s">
        <v>51</v>
      </c>
      <c r="Z72" t="s">
        <v>52</v>
      </c>
      <c r="AA72">
        <v>-4.5</v>
      </c>
      <c r="AB72">
        <v>-9</v>
      </c>
      <c r="AC72">
        <v>4.5</v>
      </c>
      <c r="AD72" t="s">
        <v>198</v>
      </c>
      <c r="AE72" t="s">
        <v>40</v>
      </c>
      <c r="AF72" t="s">
        <v>41</v>
      </c>
      <c r="AI72">
        <f t="shared" si="2"/>
        <v>0.85</v>
      </c>
      <c r="AJ72">
        <f t="shared" si="3"/>
        <v>1.7320508075688772</v>
      </c>
    </row>
    <row r="73" spans="1:36" x14ac:dyDescent="0.2">
      <c r="A73">
        <v>373080</v>
      </c>
      <c r="B73" t="s">
        <v>199</v>
      </c>
      <c r="C73">
        <v>1.3333333329999999</v>
      </c>
      <c r="D73">
        <v>1993</v>
      </c>
      <c r="E73">
        <v>1999</v>
      </c>
      <c r="F73">
        <v>6</v>
      </c>
      <c r="I73">
        <v>30</v>
      </c>
      <c r="K73">
        <v>707</v>
      </c>
      <c r="L73">
        <v>1</v>
      </c>
      <c r="M73">
        <v>21</v>
      </c>
      <c r="N73">
        <v>21</v>
      </c>
      <c r="O73">
        <v>8</v>
      </c>
      <c r="Q73">
        <v>2</v>
      </c>
      <c r="T73" t="s">
        <v>33</v>
      </c>
      <c r="U73" t="s">
        <v>61</v>
      </c>
      <c r="V73" t="s">
        <v>47</v>
      </c>
      <c r="W73" t="s">
        <v>36</v>
      </c>
      <c r="X73" t="s">
        <v>37</v>
      </c>
      <c r="Y73" t="s">
        <v>37</v>
      </c>
      <c r="Z73" t="s">
        <v>38</v>
      </c>
      <c r="AA73">
        <v>1.3333333329999999</v>
      </c>
      <c r="AB73">
        <v>8</v>
      </c>
      <c r="AC73">
        <v>1.3333333329999999</v>
      </c>
      <c r="AD73" t="s">
        <v>200</v>
      </c>
      <c r="AE73" t="s">
        <v>40</v>
      </c>
      <c r="AF73" t="s">
        <v>41</v>
      </c>
      <c r="AI73">
        <f t="shared" si="2"/>
        <v>21</v>
      </c>
      <c r="AJ73">
        <f t="shared" si="3"/>
        <v>26.589471600616662</v>
      </c>
    </row>
    <row r="74" spans="1:36" x14ac:dyDescent="0.2">
      <c r="A74">
        <v>373080</v>
      </c>
      <c r="B74" t="s">
        <v>199</v>
      </c>
      <c r="C74">
        <v>2.4</v>
      </c>
      <c r="D74">
        <v>1992</v>
      </c>
      <c r="E74">
        <v>1995</v>
      </c>
      <c r="F74">
        <v>3</v>
      </c>
      <c r="I74">
        <v>10</v>
      </c>
      <c r="J74">
        <v>2.5146481010000001</v>
      </c>
      <c r="K74">
        <v>79</v>
      </c>
      <c r="L74">
        <v>1</v>
      </c>
      <c r="M74">
        <v>3</v>
      </c>
      <c r="N74">
        <v>3</v>
      </c>
      <c r="O74">
        <v>7.2</v>
      </c>
      <c r="Q74">
        <v>2</v>
      </c>
      <c r="S74" t="s">
        <v>84</v>
      </c>
      <c r="T74" t="s">
        <v>33</v>
      </c>
      <c r="U74" t="s">
        <v>61</v>
      </c>
      <c r="V74" t="s">
        <v>47</v>
      </c>
      <c r="X74" t="s">
        <v>50</v>
      </c>
      <c r="Y74" t="s">
        <v>51</v>
      </c>
      <c r="Z74" t="s">
        <v>38</v>
      </c>
      <c r="AA74">
        <v>-2.4</v>
      </c>
      <c r="AB74">
        <v>-7.2</v>
      </c>
      <c r="AC74">
        <v>2.4</v>
      </c>
      <c r="AD74" t="s">
        <v>201</v>
      </c>
      <c r="AE74" t="s">
        <v>40</v>
      </c>
      <c r="AF74" t="s">
        <v>41</v>
      </c>
      <c r="AI74">
        <f t="shared" si="2"/>
        <v>3</v>
      </c>
      <c r="AJ74">
        <f t="shared" si="3"/>
        <v>8.8881944173155887</v>
      </c>
    </row>
    <row r="75" spans="1:36" x14ac:dyDescent="0.2">
      <c r="A75">
        <v>312060</v>
      </c>
      <c r="B75" t="s">
        <v>202</v>
      </c>
      <c r="C75">
        <v>0.5</v>
      </c>
      <c r="D75">
        <v>1992</v>
      </c>
      <c r="E75">
        <v>2010</v>
      </c>
      <c r="F75">
        <v>18</v>
      </c>
      <c r="I75">
        <v>16</v>
      </c>
      <c r="J75">
        <v>3.998767945</v>
      </c>
      <c r="K75">
        <v>201</v>
      </c>
      <c r="L75">
        <v>1</v>
      </c>
      <c r="M75">
        <v>2.7</v>
      </c>
      <c r="N75">
        <v>2.8</v>
      </c>
      <c r="O75">
        <v>9</v>
      </c>
      <c r="Q75">
        <v>1</v>
      </c>
      <c r="S75" t="s">
        <v>44</v>
      </c>
      <c r="T75" t="s">
        <v>45</v>
      </c>
      <c r="U75" t="s">
        <v>34</v>
      </c>
      <c r="V75" t="s">
        <v>35</v>
      </c>
      <c r="X75" t="s">
        <v>50</v>
      </c>
      <c r="Y75" t="s">
        <v>51</v>
      </c>
      <c r="Z75" t="s">
        <v>71</v>
      </c>
      <c r="AA75">
        <v>-0.5</v>
      </c>
      <c r="AB75">
        <v>-9</v>
      </c>
      <c r="AC75">
        <v>0.5</v>
      </c>
      <c r="AD75" t="s">
        <v>203</v>
      </c>
      <c r="AE75" t="s">
        <v>40</v>
      </c>
      <c r="AF75" t="s">
        <v>41</v>
      </c>
      <c r="AI75">
        <f t="shared" si="2"/>
        <v>2.75</v>
      </c>
      <c r="AJ75">
        <f t="shared" si="3"/>
        <v>14.177446878757825</v>
      </c>
    </row>
    <row r="76" spans="1:36" x14ac:dyDescent="0.2">
      <c r="A76">
        <v>312060</v>
      </c>
      <c r="B76" t="s">
        <v>202</v>
      </c>
      <c r="C76">
        <v>5</v>
      </c>
      <c r="D76">
        <v>2002</v>
      </c>
      <c r="E76">
        <v>2003</v>
      </c>
      <c r="F76">
        <v>1</v>
      </c>
      <c r="I76">
        <v>16</v>
      </c>
      <c r="K76">
        <v>201</v>
      </c>
      <c r="L76">
        <v>1</v>
      </c>
      <c r="M76">
        <v>2.7</v>
      </c>
      <c r="N76">
        <v>2.8</v>
      </c>
      <c r="O76">
        <v>5</v>
      </c>
      <c r="Q76">
        <v>1</v>
      </c>
      <c r="T76" t="s">
        <v>45</v>
      </c>
      <c r="U76" t="s">
        <v>34</v>
      </c>
      <c r="V76" t="s">
        <v>35</v>
      </c>
      <c r="W76" t="s">
        <v>36</v>
      </c>
      <c r="X76" t="s">
        <v>37</v>
      </c>
      <c r="Y76" t="s">
        <v>37</v>
      </c>
      <c r="Z76" t="s">
        <v>38</v>
      </c>
      <c r="AA76">
        <v>5</v>
      </c>
      <c r="AB76">
        <v>5</v>
      </c>
      <c r="AC76">
        <v>5</v>
      </c>
      <c r="AD76" t="s">
        <v>204</v>
      </c>
      <c r="AE76" t="s">
        <v>40</v>
      </c>
      <c r="AF76" t="s">
        <v>41</v>
      </c>
      <c r="AI76">
        <f t="shared" si="2"/>
        <v>2.75</v>
      </c>
      <c r="AJ76">
        <f t="shared" si="3"/>
        <v>14.177446878757825</v>
      </c>
    </row>
    <row r="77" spans="1:36" x14ac:dyDescent="0.2">
      <c r="A77">
        <v>383060</v>
      </c>
      <c r="B77" t="s">
        <v>206</v>
      </c>
      <c r="C77">
        <v>0.4</v>
      </c>
      <c r="D77">
        <v>1992</v>
      </c>
      <c r="E77">
        <v>2000</v>
      </c>
      <c r="F77">
        <v>8</v>
      </c>
      <c r="I77">
        <v>3</v>
      </c>
      <c r="J77">
        <v>0.74272306799999999</v>
      </c>
      <c r="K77">
        <v>7</v>
      </c>
      <c r="L77">
        <v>1</v>
      </c>
      <c r="M77">
        <v>4</v>
      </c>
      <c r="N77">
        <v>4</v>
      </c>
      <c r="O77">
        <v>3.2</v>
      </c>
      <c r="Q77">
        <v>1</v>
      </c>
      <c r="S77" t="s">
        <v>205</v>
      </c>
      <c r="T77" t="s">
        <v>64</v>
      </c>
      <c r="U77" t="s">
        <v>163</v>
      </c>
      <c r="V77" t="s">
        <v>47</v>
      </c>
      <c r="X77" t="s">
        <v>50</v>
      </c>
      <c r="Y77" t="s">
        <v>51</v>
      </c>
      <c r="Z77" t="s">
        <v>48</v>
      </c>
      <c r="AA77">
        <v>-0.4</v>
      </c>
      <c r="AB77">
        <v>-3.2</v>
      </c>
      <c r="AC77">
        <v>0.4</v>
      </c>
      <c r="AD77" t="s">
        <v>207</v>
      </c>
      <c r="AE77" t="s">
        <v>40</v>
      </c>
      <c r="AF77" t="s">
        <v>41</v>
      </c>
      <c r="AI77">
        <f t="shared" si="2"/>
        <v>4</v>
      </c>
      <c r="AJ77">
        <f t="shared" si="3"/>
        <v>2.6457513110645907</v>
      </c>
    </row>
    <row r="78" spans="1:36" x14ac:dyDescent="0.2">
      <c r="A78">
        <v>383060</v>
      </c>
      <c r="B78" t="s">
        <v>206</v>
      </c>
      <c r="C78">
        <v>0.6</v>
      </c>
      <c r="D78">
        <v>1992</v>
      </c>
      <c r="E78">
        <v>2000</v>
      </c>
      <c r="F78">
        <v>8</v>
      </c>
      <c r="I78">
        <v>3</v>
      </c>
      <c r="J78">
        <v>0.74272306799999999</v>
      </c>
      <c r="K78">
        <v>7</v>
      </c>
      <c r="L78">
        <v>1</v>
      </c>
      <c r="M78">
        <v>4</v>
      </c>
      <c r="N78">
        <v>4</v>
      </c>
      <c r="O78">
        <v>4.8</v>
      </c>
      <c r="Q78">
        <v>1</v>
      </c>
      <c r="S78" t="s">
        <v>205</v>
      </c>
      <c r="T78" t="s">
        <v>64</v>
      </c>
      <c r="U78" t="s">
        <v>163</v>
      </c>
      <c r="V78" t="s">
        <v>47</v>
      </c>
      <c r="X78" t="s">
        <v>50</v>
      </c>
      <c r="Y78" t="s">
        <v>51</v>
      </c>
      <c r="Z78" t="s">
        <v>38</v>
      </c>
      <c r="AA78">
        <v>-0.6</v>
      </c>
      <c r="AB78">
        <v>-4.8</v>
      </c>
      <c r="AC78">
        <v>0.6</v>
      </c>
      <c r="AD78" t="s">
        <v>207</v>
      </c>
      <c r="AE78" t="s">
        <v>40</v>
      </c>
      <c r="AF78" t="s">
        <v>41</v>
      </c>
      <c r="AI78">
        <f t="shared" si="2"/>
        <v>4</v>
      </c>
      <c r="AJ78">
        <f t="shared" si="3"/>
        <v>2.6457513110645907</v>
      </c>
    </row>
    <row r="79" spans="1:36" x14ac:dyDescent="0.2">
      <c r="A79">
        <v>323080</v>
      </c>
      <c r="B79" t="s">
        <v>208</v>
      </c>
      <c r="C79">
        <v>1</v>
      </c>
      <c r="D79">
        <v>1992</v>
      </c>
      <c r="E79">
        <v>2010</v>
      </c>
      <c r="F79">
        <v>18</v>
      </c>
      <c r="H79">
        <v>5</v>
      </c>
      <c r="I79">
        <v>40</v>
      </c>
      <c r="J79">
        <v>10.00288817</v>
      </c>
      <c r="K79">
        <v>1257</v>
      </c>
      <c r="L79">
        <v>1</v>
      </c>
      <c r="M79">
        <v>8</v>
      </c>
      <c r="N79">
        <v>8</v>
      </c>
      <c r="O79">
        <v>18</v>
      </c>
      <c r="Q79">
        <v>1</v>
      </c>
      <c r="S79" t="s">
        <v>135</v>
      </c>
      <c r="T79" t="s">
        <v>45</v>
      </c>
      <c r="U79" t="s">
        <v>34</v>
      </c>
      <c r="V79" t="s">
        <v>35</v>
      </c>
      <c r="X79" t="s">
        <v>50</v>
      </c>
      <c r="Y79" t="s">
        <v>51</v>
      </c>
      <c r="Z79" t="s">
        <v>48</v>
      </c>
      <c r="AA79">
        <v>-1</v>
      </c>
      <c r="AB79">
        <v>-18</v>
      </c>
      <c r="AC79">
        <v>1</v>
      </c>
      <c r="AD79" t="s">
        <v>209</v>
      </c>
      <c r="AE79" t="s">
        <v>40</v>
      </c>
      <c r="AF79" t="s">
        <v>41</v>
      </c>
      <c r="AI79">
        <f t="shared" si="2"/>
        <v>8</v>
      </c>
      <c r="AJ79">
        <f t="shared" si="3"/>
        <v>35.454195802471673</v>
      </c>
    </row>
    <row r="80" spans="1:36" x14ac:dyDescent="0.2">
      <c r="A80">
        <v>355120</v>
      </c>
      <c r="B80" t="s">
        <v>210</v>
      </c>
      <c r="C80">
        <v>2</v>
      </c>
      <c r="D80">
        <v>2000</v>
      </c>
      <c r="E80">
        <v>2008</v>
      </c>
      <c r="F80">
        <v>8</v>
      </c>
      <c r="I80">
        <v>6</v>
      </c>
      <c r="J80">
        <v>1.485446136</v>
      </c>
      <c r="K80">
        <v>28</v>
      </c>
      <c r="L80">
        <v>1</v>
      </c>
      <c r="M80">
        <v>1</v>
      </c>
      <c r="N80">
        <v>1</v>
      </c>
      <c r="O80">
        <v>16</v>
      </c>
      <c r="Q80">
        <v>1</v>
      </c>
      <c r="S80" t="s">
        <v>59</v>
      </c>
      <c r="T80" t="s">
        <v>45</v>
      </c>
      <c r="U80" t="s">
        <v>34</v>
      </c>
      <c r="V80" t="s">
        <v>35</v>
      </c>
      <c r="X80" t="s">
        <v>37</v>
      </c>
      <c r="Y80" t="s">
        <v>37</v>
      </c>
      <c r="Z80" t="s">
        <v>52</v>
      </c>
      <c r="AA80">
        <v>2</v>
      </c>
      <c r="AB80">
        <v>16</v>
      </c>
      <c r="AC80">
        <v>2</v>
      </c>
      <c r="AD80" t="s">
        <v>211</v>
      </c>
      <c r="AE80" t="s">
        <v>40</v>
      </c>
      <c r="AF80" t="s">
        <v>41</v>
      </c>
      <c r="AI80">
        <f t="shared" si="2"/>
        <v>1</v>
      </c>
      <c r="AJ80">
        <f t="shared" si="3"/>
        <v>5.2915026221291814</v>
      </c>
    </row>
    <row r="81" spans="1:36" x14ac:dyDescent="0.2">
      <c r="A81">
        <v>222120</v>
      </c>
      <c r="B81" t="s">
        <v>212</v>
      </c>
      <c r="C81">
        <v>9.3248175179999997</v>
      </c>
      <c r="D81" s="1">
        <v>39479</v>
      </c>
      <c r="E81" s="1">
        <v>39753</v>
      </c>
      <c r="F81">
        <v>0.75068493199999997</v>
      </c>
      <c r="H81">
        <v>25</v>
      </c>
      <c r="I81">
        <v>10</v>
      </c>
      <c r="K81">
        <v>79</v>
      </c>
      <c r="L81">
        <v>1</v>
      </c>
      <c r="M81">
        <v>3</v>
      </c>
      <c r="N81">
        <v>3</v>
      </c>
      <c r="O81">
        <v>7</v>
      </c>
      <c r="Q81">
        <v>2</v>
      </c>
      <c r="T81" t="s">
        <v>45</v>
      </c>
      <c r="U81" t="s">
        <v>68</v>
      </c>
      <c r="V81" t="s">
        <v>56</v>
      </c>
      <c r="W81" t="s">
        <v>36</v>
      </c>
      <c r="X81" t="s">
        <v>50</v>
      </c>
      <c r="Y81" t="s">
        <v>51</v>
      </c>
      <c r="Z81" t="s">
        <v>98</v>
      </c>
      <c r="AA81">
        <v>-9.32</v>
      </c>
      <c r="AB81">
        <v>-7</v>
      </c>
      <c r="AC81">
        <v>9.3248175179999997</v>
      </c>
      <c r="AD81" t="s">
        <v>213</v>
      </c>
      <c r="AE81" t="s">
        <v>40</v>
      </c>
      <c r="AF81" t="s">
        <v>41</v>
      </c>
      <c r="AI81">
        <f t="shared" si="2"/>
        <v>3</v>
      </c>
      <c r="AJ81">
        <f t="shared" si="3"/>
        <v>8.8881944173155887</v>
      </c>
    </row>
    <row r="82" spans="1:36" x14ac:dyDescent="0.2">
      <c r="A82">
        <v>222120</v>
      </c>
      <c r="B82" t="s">
        <v>212</v>
      </c>
      <c r="C82">
        <v>730</v>
      </c>
      <c r="D82" s="2">
        <v>39277</v>
      </c>
      <c r="E82" s="2">
        <v>39298</v>
      </c>
      <c r="F82">
        <v>5.7534246999999997E-2</v>
      </c>
      <c r="H82">
        <v>25</v>
      </c>
      <c r="I82">
        <v>40</v>
      </c>
      <c r="K82">
        <v>1257</v>
      </c>
      <c r="L82">
        <v>1</v>
      </c>
      <c r="M82">
        <v>4</v>
      </c>
      <c r="N82">
        <v>8</v>
      </c>
      <c r="O82">
        <v>42</v>
      </c>
      <c r="Q82">
        <v>2</v>
      </c>
      <c r="T82" t="s">
        <v>45</v>
      </c>
      <c r="U82" t="s">
        <v>68</v>
      </c>
      <c r="V82" t="s">
        <v>56</v>
      </c>
      <c r="W82" t="s">
        <v>36</v>
      </c>
      <c r="X82" t="s">
        <v>53</v>
      </c>
      <c r="Y82" t="s">
        <v>121</v>
      </c>
      <c r="Z82" t="s">
        <v>214</v>
      </c>
      <c r="AA82">
        <v>-730</v>
      </c>
      <c r="AB82">
        <v>-42</v>
      </c>
      <c r="AC82">
        <v>730</v>
      </c>
      <c r="AD82" t="s">
        <v>215</v>
      </c>
      <c r="AE82" t="s">
        <v>40</v>
      </c>
      <c r="AF82" t="s">
        <v>41</v>
      </c>
      <c r="AI82">
        <f t="shared" si="2"/>
        <v>6</v>
      </c>
      <c r="AJ82">
        <f t="shared" si="3"/>
        <v>35.454195802471673</v>
      </c>
    </row>
    <row r="83" spans="1:36" x14ac:dyDescent="0.2">
      <c r="A83">
        <v>222100</v>
      </c>
      <c r="B83" t="s">
        <v>216</v>
      </c>
      <c r="C83">
        <v>5.33015873</v>
      </c>
      <c r="D83" s="2">
        <v>38166</v>
      </c>
      <c r="E83" s="2">
        <v>38796</v>
      </c>
      <c r="F83">
        <v>1.726027397</v>
      </c>
      <c r="I83">
        <v>10</v>
      </c>
      <c r="K83">
        <v>79</v>
      </c>
      <c r="L83">
        <v>1</v>
      </c>
      <c r="M83">
        <v>3.2</v>
      </c>
      <c r="N83">
        <v>4.2</v>
      </c>
      <c r="O83">
        <v>9.1999999999999993</v>
      </c>
      <c r="Q83">
        <v>1</v>
      </c>
      <c r="T83" t="s">
        <v>45</v>
      </c>
      <c r="U83" t="s">
        <v>68</v>
      </c>
      <c r="V83" t="s">
        <v>109</v>
      </c>
      <c r="W83" t="s">
        <v>36</v>
      </c>
      <c r="X83" t="s">
        <v>37</v>
      </c>
      <c r="Y83" t="s">
        <v>37</v>
      </c>
      <c r="Z83" t="s">
        <v>71</v>
      </c>
      <c r="AA83">
        <v>5.33015873</v>
      </c>
      <c r="AB83">
        <v>9.1999999999999993</v>
      </c>
      <c r="AC83">
        <v>5.33015873</v>
      </c>
      <c r="AD83" t="s">
        <v>217</v>
      </c>
      <c r="AE83" t="s">
        <v>40</v>
      </c>
      <c r="AF83" t="s">
        <v>41</v>
      </c>
      <c r="AI83">
        <f t="shared" si="2"/>
        <v>3.7</v>
      </c>
      <c r="AJ83">
        <f t="shared" si="3"/>
        <v>8.8881944173155887</v>
      </c>
    </row>
    <row r="84" spans="1:36" x14ac:dyDescent="0.2">
      <c r="A84">
        <v>312150</v>
      </c>
      <c r="B84" t="s">
        <v>218</v>
      </c>
      <c r="C84">
        <v>1</v>
      </c>
      <c r="D84">
        <v>1995</v>
      </c>
      <c r="E84">
        <v>2010</v>
      </c>
      <c r="F84">
        <v>15</v>
      </c>
      <c r="I84">
        <v>30</v>
      </c>
      <c r="J84">
        <v>7.501502984</v>
      </c>
      <c r="K84">
        <v>707</v>
      </c>
      <c r="L84">
        <v>1</v>
      </c>
      <c r="M84">
        <v>5</v>
      </c>
      <c r="N84">
        <v>15</v>
      </c>
      <c r="O84">
        <v>15</v>
      </c>
      <c r="Q84">
        <v>1</v>
      </c>
      <c r="S84" t="s">
        <v>44</v>
      </c>
      <c r="T84" t="s">
        <v>45</v>
      </c>
      <c r="U84" t="s">
        <v>34</v>
      </c>
      <c r="V84" t="s">
        <v>35</v>
      </c>
      <c r="X84" t="s">
        <v>37</v>
      </c>
      <c r="Y84" t="s">
        <v>37</v>
      </c>
      <c r="Z84" t="s">
        <v>38</v>
      </c>
      <c r="AA84">
        <v>1</v>
      </c>
      <c r="AB84">
        <v>15</v>
      </c>
      <c r="AC84">
        <v>1</v>
      </c>
      <c r="AD84" t="s">
        <v>219</v>
      </c>
      <c r="AE84" t="s">
        <v>40</v>
      </c>
      <c r="AF84" t="s">
        <v>41</v>
      </c>
      <c r="AI84">
        <f t="shared" si="2"/>
        <v>10</v>
      </c>
      <c r="AJ84">
        <f t="shared" si="3"/>
        <v>26.589471600616662</v>
      </c>
    </row>
    <row r="85" spans="1:36" x14ac:dyDescent="0.2">
      <c r="A85">
        <v>311310</v>
      </c>
      <c r="B85" t="s">
        <v>220</v>
      </c>
      <c r="C85">
        <v>1</v>
      </c>
      <c r="D85" s="1">
        <v>34943</v>
      </c>
      <c r="E85" s="2">
        <v>36745</v>
      </c>
      <c r="F85">
        <v>4.9370000000000003</v>
      </c>
      <c r="H85">
        <v>5</v>
      </c>
      <c r="I85">
        <v>22</v>
      </c>
      <c r="J85">
        <v>5.498079852</v>
      </c>
      <c r="K85">
        <v>380</v>
      </c>
      <c r="L85">
        <v>1</v>
      </c>
      <c r="M85">
        <v>5.0999999999999996</v>
      </c>
      <c r="N85">
        <v>6.5</v>
      </c>
      <c r="O85">
        <v>4.9369863010000001</v>
      </c>
      <c r="Q85">
        <v>1</v>
      </c>
      <c r="S85" t="s">
        <v>44</v>
      </c>
      <c r="T85" t="s">
        <v>45</v>
      </c>
      <c r="U85" t="s">
        <v>46</v>
      </c>
      <c r="V85" t="s">
        <v>35</v>
      </c>
      <c r="X85" t="s">
        <v>50</v>
      </c>
      <c r="Y85" t="s">
        <v>51</v>
      </c>
      <c r="Z85" t="s">
        <v>48</v>
      </c>
      <c r="AA85">
        <v>-1</v>
      </c>
      <c r="AB85">
        <v>-4.9369863010000001</v>
      </c>
      <c r="AC85">
        <v>1</v>
      </c>
      <c r="AD85" t="s">
        <v>221</v>
      </c>
      <c r="AE85" t="s">
        <v>40</v>
      </c>
      <c r="AF85" t="s">
        <v>41</v>
      </c>
      <c r="AI85">
        <f t="shared" si="2"/>
        <v>5.8</v>
      </c>
      <c r="AJ85">
        <f t="shared" si="3"/>
        <v>19.493588689617926</v>
      </c>
    </row>
    <row r="86" spans="1:36" x14ac:dyDescent="0.2">
      <c r="A86">
        <v>311310</v>
      </c>
      <c r="B86" t="s">
        <v>220</v>
      </c>
      <c r="C86">
        <v>1</v>
      </c>
      <c r="D86">
        <v>2004</v>
      </c>
      <c r="E86">
        <v>2009</v>
      </c>
      <c r="F86">
        <v>5</v>
      </c>
      <c r="H86">
        <v>5</v>
      </c>
      <c r="I86">
        <v>5</v>
      </c>
      <c r="J86">
        <v>1.273239545</v>
      </c>
      <c r="K86">
        <v>20</v>
      </c>
      <c r="L86">
        <v>1</v>
      </c>
      <c r="M86">
        <v>5</v>
      </c>
      <c r="N86">
        <v>6.6</v>
      </c>
      <c r="O86">
        <v>5</v>
      </c>
      <c r="Q86">
        <v>1</v>
      </c>
      <c r="S86" t="s">
        <v>44</v>
      </c>
      <c r="T86" t="s">
        <v>45</v>
      </c>
      <c r="U86" t="s">
        <v>46</v>
      </c>
      <c r="V86" t="s">
        <v>35</v>
      </c>
      <c r="X86" t="s">
        <v>50</v>
      </c>
      <c r="Y86" t="s">
        <v>51</v>
      </c>
      <c r="Z86" t="s">
        <v>71</v>
      </c>
      <c r="AA86">
        <v>-1</v>
      </c>
      <c r="AB86">
        <v>-5</v>
      </c>
      <c r="AC86">
        <v>1</v>
      </c>
      <c r="AD86" t="s">
        <v>222</v>
      </c>
      <c r="AE86" t="s">
        <v>40</v>
      </c>
      <c r="AF86" t="s">
        <v>41</v>
      </c>
      <c r="AI86">
        <f t="shared" si="2"/>
        <v>5.8</v>
      </c>
      <c r="AJ86">
        <f t="shared" si="3"/>
        <v>4.4721359549995796</v>
      </c>
    </row>
    <row r="87" spans="1:36" x14ac:dyDescent="0.2">
      <c r="A87">
        <v>323150</v>
      </c>
      <c r="B87" t="s">
        <v>223</v>
      </c>
      <c r="C87">
        <v>1</v>
      </c>
      <c r="D87">
        <v>1990</v>
      </c>
      <c r="E87">
        <v>1996</v>
      </c>
      <c r="F87">
        <v>6</v>
      </c>
      <c r="I87">
        <v>30</v>
      </c>
      <c r="J87">
        <v>25</v>
      </c>
      <c r="K87">
        <v>589</v>
      </c>
      <c r="L87">
        <v>1.2</v>
      </c>
      <c r="M87">
        <v>6.6</v>
      </c>
      <c r="N87">
        <v>8.6999999999999993</v>
      </c>
      <c r="O87">
        <v>6</v>
      </c>
      <c r="Q87">
        <v>1</v>
      </c>
      <c r="S87" t="s">
        <v>135</v>
      </c>
      <c r="T87" t="s">
        <v>96</v>
      </c>
      <c r="U87" t="s">
        <v>68</v>
      </c>
      <c r="V87" t="s">
        <v>109</v>
      </c>
      <c r="X87" t="s">
        <v>37</v>
      </c>
      <c r="Y87" t="s">
        <v>37</v>
      </c>
      <c r="Z87" t="s">
        <v>38</v>
      </c>
      <c r="AA87">
        <v>1</v>
      </c>
      <c r="AB87">
        <v>6</v>
      </c>
      <c r="AC87">
        <v>1</v>
      </c>
      <c r="AD87" t="s">
        <v>224</v>
      </c>
      <c r="AE87" t="s">
        <v>40</v>
      </c>
      <c r="AF87" t="s">
        <v>41</v>
      </c>
      <c r="AI87">
        <f t="shared" si="2"/>
        <v>7.6499999999999995</v>
      </c>
      <c r="AJ87">
        <f t="shared" si="3"/>
        <v>24.269322199023193</v>
      </c>
    </row>
    <row r="88" spans="1:36" x14ac:dyDescent="0.2">
      <c r="A88">
        <v>323150</v>
      </c>
      <c r="B88" t="s">
        <v>223</v>
      </c>
      <c r="C88">
        <v>1</v>
      </c>
      <c r="D88">
        <v>2002</v>
      </c>
      <c r="E88">
        <v>2003</v>
      </c>
      <c r="F88">
        <v>1</v>
      </c>
      <c r="I88">
        <v>30</v>
      </c>
      <c r="J88">
        <v>25</v>
      </c>
      <c r="K88">
        <v>589</v>
      </c>
      <c r="L88">
        <v>1.2</v>
      </c>
      <c r="M88">
        <v>4.5</v>
      </c>
      <c r="N88">
        <v>13.5</v>
      </c>
      <c r="O88">
        <v>1</v>
      </c>
      <c r="Q88">
        <v>1</v>
      </c>
      <c r="S88" t="s">
        <v>135</v>
      </c>
      <c r="T88" t="s">
        <v>96</v>
      </c>
      <c r="U88" t="s">
        <v>68</v>
      </c>
      <c r="V88" t="s">
        <v>109</v>
      </c>
      <c r="X88" t="s">
        <v>37</v>
      </c>
      <c r="Y88" t="s">
        <v>37</v>
      </c>
      <c r="Z88" t="s">
        <v>48</v>
      </c>
      <c r="AA88">
        <v>1</v>
      </c>
      <c r="AB88">
        <v>1</v>
      </c>
      <c r="AC88">
        <v>1</v>
      </c>
      <c r="AD88" t="s">
        <v>225</v>
      </c>
      <c r="AE88" t="s">
        <v>40</v>
      </c>
      <c r="AF88" t="s">
        <v>41</v>
      </c>
      <c r="AI88">
        <f t="shared" si="2"/>
        <v>9</v>
      </c>
      <c r="AJ88">
        <f t="shared" si="3"/>
        <v>24.269322199023193</v>
      </c>
    </row>
    <row r="89" spans="1:36" x14ac:dyDescent="0.2">
      <c r="A89">
        <v>323150</v>
      </c>
      <c r="B89" t="s">
        <v>223</v>
      </c>
      <c r="C89">
        <v>1</v>
      </c>
      <c r="D89">
        <v>2011</v>
      </c>
      <c r="E89">
        <v>2014</v>
      </c>
      <c r="F89">
        <v>3</v>
      </c>
      <c r="I89">
        <v>30</v>
      </c>
      <c r="J89">
        <v>25</v>
      </c>
      <c r="K89">
        <v>589</v>
      </c>
      <c r="L89">
        <v>1.2</v>
      </c>
      <c r="M89">
        <v>7.2</v>
      </c>
      <c r="N89">
        <v>7.2</v>
      </c>
      <c r="O89">
        <v>3</v>
      </c>
      <c r="Q89">
        <v>1</v>
      </c>
      <c r="S89" t="s">
        <v>135</v>
      </c>
      <c r="T89" t="s">
        <v>96</v>
      </c>
      <c r="U89" t="s">
        <v>68</v>
      </c>
      <c r="V89" t="s">
        <v>109</v>
      </c>
      <c r="X89" t="s">
        <v>37</v>
      </c>
      <c r="Y89" t="s">
        <v>37</v>
      </c>
      <c r="Z89" t="s">
        <v>48</v>
      </c>
      <c r="AA89">
        <v>1</v>
      </c>
      <c r="AB89">
        <v>3</v>
      </c>
      <c r="AC89">
        <v>1</v>
      </c>
      <c r="AD89" t="s">
        <v>226</v>
      </c>
      <c r="AE89" t="s">
        <v>40</v>
      </c>
      <c r="AF89" t="s">
        <v>41</v>
      </c>
      <c r="AI89">
        <f t="shared" si="2"/>
        <v>7.2</v>
      </c>
      <c r="AJ89">
        <f t="shared" si="3"/>
        <v>24.269322199023193</v>
      </c>
    </row>
    <row r="90" spans="1:36" x14ac:dyDescent="0.2">
      <c r="A90">
        <v>323150</v>
      </c>
      <c r="B90" t="s">
        <v>223</v>
      </c>
      <c r="C90">
        <v>18</v>
      </c>
      <c r="D90">
        <v>1997</v>
      </c>
      <c r="E90">
        <v>1998</v>
      </c>
      <c r="F90">
        <v>1</v>
      </c>
      <c r="I90">
        <v>30</v>
      </c>
      <c r="J90">
        <v>25</v>
      </c>
      <c r="K90">
        <v>589</v>
      </c>
      <c r="L90">
        <v>1.2</v>
      </c>
      <c r="M90">
        <v>6.6</v>
      </c>
      <c r="N90">
        <v>8.4</v>
      </c>
      <c r="O90">
        <v>18</v>
      </c>
      <c r="Q90">
        <v>1</v>
      </c>
      <c r="S90" t="s">
        <v>135</v>
      </c>
      <c r="T90" t="s">
        <v>96</v>
      </c>
      <c r="U90" t="s">
        <v>68</v>
      </c>
      <c r="V90" t="s">
        <v>109</v>
      </c>
      <c r="X90" t="s">
        <v>37</v>
      </c>
      <c r="Y90" t="s">
        <v>37</v>
      </c>
      <c r="Z90" t="s">
        <v>48</v>
      </c>
      <c r="AA90">
        <v>18</v>
      </c>
      <c r="AB90">
        <v>18</v>
      </c>
      <c r="AC90">
        <v>18</v>
      </c>
      <c r="AD90" t="s">
        <v>227</v>
      </c>
      <c r="AE90" t="s">
        <v>40</v>
      </c>
      <c r="AF90" t="s">
        <v>41</v>
      </c>
      <c r="AI90">
        <f t="shared" si="2"/>
        <v>7.5</v>
      </c>
      <c r="AJ90">
        <f t="shared" si="3"/>
        <v>24.269322199023193</v>
      </c>
    </row>
    <row r="91" spans="1:36" x14ac:dyDescent="0.2">
      <c r="A91">
        <v>221115</v>
      </c>
      <c r="B91" t="s">
        <v>228</v>
      </c>
      <c r="C91">
        <v>11.37662338</v>
      </c>
      <c r="D91" s="2">
        <v>38093</v>
      </c>
      <c r="E91" s="2">
        <v>38478</v>
      </c>
      <c r="F91">
        <v>1.054794521</v>
      </c>
      <c r="I91">
        <v>10</v>
      </c>
      <c r="K91">
        <v>79</v>
      </c>
      <c r="L91">
        <v>1</v>
      </c>
      <c r="M91">
        <v>5</v>
      </c>
      <c r="N91">
        <v>5</v>
      </c>
      <c r="O91">
        <v>12</v>
      </c>
      <c r="Q91">
        <v>1</v>
      </c>
      <c r="T91" t="s">
        <v>229</v>
      </c>
      <c r="U91" t="s">
        <v>65</v>
      </c>
      <c r="V91" t="s">
        <v>47</v>
      </c>
      <c r="W91" t="s">
        <v>36</v>
      </c>
      <c r="X91" t="s">
        <v>37</v>
      </c>
      <c r="Y91" t="s">
        <v>37</v>
      </c>
      <c r="AA91">
        <v>11.37662338</v>
      </c>
      <c r="AB91">
        <v>12</v>
      </c>
      <c r="AC91">
        <v>11.37662338</v>
      </c>
      <c r="AD91" t="s">
        <v>230</v>
      </c>
      <c r="AE91" t="s">
        <v>40</v>
      </c>
      <c r="AF91" t="s">
        <v>41</v>
      </c>
      <c r="AI91">
        <f t="shared" si="2"/>
        <v>5</v>
      </c>
      <c r="AJ91">
        <f t="shared" si="3"/>
        <v>8.8881944173155887</v>
      </c>
    </row>
    <row r="92" spans="1:36" x14ac:dyDescent="0.2">
      <c r="A92">
        <v>221115</v>
      </c>
      <c r="B92" t="s">
        <v>228</v>
      </c>
      <c r="C92">
        <v>20857.14286</v>
      </c>
      <c r="D92" s="1">
        <v>38596</v>
      </c>
      <c r="E92" s="1">
        <v>38596</v>
      </c>
      <c r="F92">
        <v>1.9178081999999999E-2</v>
      </c>
      <c r="I92">
        <v>10</v>
      </c>
      <c r="K92">
        <v>79</v>
      </c>
      <c r="L92">
        <v>1</v>
      </c>
      <c r="M92">
        <v>5</v>
      </c>
      <c r="N92">
        <v>5</v>
      </c>
      <c r="O92">
        <v>400</v>
      </c>
      <c r="Q92">
        <v>2</v>
      </c>
      <c r="T92" t="s">
        <v>229</v>
      </c>
      <c r="U92" t="s">
        <v>65</v>
      </c>
      <c r="V92" t="s">
        <v>47</v>
      </c>
      <c r="W92" t="s">
        <v>36</v>
      </c>
      <c r="X92" t="s">
        <v>53</v>
      </c>
      <c r="Y92" t="s">
        <v>121</v>
      </c>
      <c r="Z92" t="s">
        <v>98</v>
      </c>
      <c r="AA92">
        <v>-20857.14</v>
      </c>
      <c r="AB92">
        <v>-400</v>
      </c>
      <c r="AC92">
        <v>20857.14286</v>
      </c>
      <c r="AD92" t="s">
        <v>231</v>
      </c>
      <c r="AE92" t="s">
        <v>40</v>
      </c>
      <c r="AF92" t="s">
        <v>41</v>
      </c>
      <c r="AI92">
        <f t="shared" si="2"/>
        <v>5</v>
      </c>
      <c r="AJ92">
        <f t="shared" si="3"/>
        <v>8.8881944173155887</v>
      </c>
    </row>
    <row r="93" spans="1:36" x14ac:dyDescent="0.2">
      <c r="A93">
        <v>357061</v>
      </c>
      <c r="B93" t="s">
        <v>233</v>
      </c>
      <c r="C93">
        <v>19</v>
      </c>
      <c r="D93">
        <v>2013</v>
      </c>
      <c r="E93">
        <v>2014.83</v>
      </c>
      <c r="F93">
        <v>1.83</v>
      </c>
      <c r="I93">
        <v>12</v>
      </c>
      <c r="J93">
        <v>2.997418095</v>
      </c>
      <c r="K93">
        <v>113</v>
      </c>
      <c r="L93">
        <v>1</v>
      </c>
      <c r="M93">
        <v>5</v>
      </c>
      <c r="N93">
        <v>8.5</v>
      </c>
      <c r="O93">
        <v>34.770000000000003</v>
      </c>
      <c r="Q93">
        <v>1</v>
      </c>
      <c r="S93" t="s">
        <v>59</v>
      </c>
      <c r="T93" t="s">
        <v>33</v>
      </c>
      <c r="U93" t="s">
        <v>34</v>
      </c>
      <c r="V93" t="s">
        <v>35</v>
      </c>
      <c r="X93" t="s">
        <v>37</v>
      </c>
      <c r="Y93" t="s">
        <v>37</v>
      </c>
      <c r="Z93" t="s">
        <v>48</v>
      </c>
      <c r="AA93">
        <v>19</v>
      </c>
      <c r="AB93">
        <v>34.770000000000003</v>
      </c>
      <c r="AC93">
        <v>19</v>
      </c>
      <c r="AD93" t="s">
        <v>234</v>
      </c>
      <c r="AE93" t="s">
        <v>40</v>
      </c>
      <c r="AF93" t="s">
        <v>41</v>
      </c>
      <c r="AI93">
        <f t="shared" si="2"/>
        <v>6.75</v>
      </c>
      <c r="AJ93">
        <f t="shared" si="3"/>
        <v>10.63014581273465</v>
      </c>
    </row>
    <row r="94" spans="1:36" x14ac:dyDescent="0.2">
      <c r="A94">
        <v>357061</v>
      </c>
      <c r="B94" t="s">
        <v>233</v>
      </c>
      <c r="C94">
        <v>28</v>
      </c>
      <c r="D94">
        <v>2007</v>
      </c>
      <c r="E94">
        <v>2012</v>
      </c>
      <c r="F94">
        <v>5</v>
      </c>
      <c r="I94">
        <v>12</v>
      </c>
      <c r="J94">
        <v>2.997418095</v>
      </c>
      <c r="K94">
        <v>113</v>
      </c>
      <c r="L94">
        <v>1</v>
      </c>
      <c r="M94">
        <v>5</v>
      </c>
      <c r="N94">
        <v>8.5</v>
      </c>
      <c r="O94">
        <v>140</v>
      </c>
      <c r="Q94">
        <v>1</v>
      </c>
      <c r="S94" t="s">
        <v>59</v>
      </c>
      <c r="T94" t="s">
        <v>33</v>
      </c>
      <c r="U94" t="s">
        <v>34</v>
      </c>
      <c r="V94" t="s">
        <v>35</v>
      </c>
      <c r="X94" t="s">
        <v>37</v>
      </c>
      <c r="Y94" t="s">
        <v>37</v>
      </c>
      <c r="Z94" t="s">
        <v>38</v>
      </c>
      <c r="AA94">
        <v>28</v>
      </c>
      <c r="AB94">
        <v>140</v>
      </c>
      <c r="AC94">
        <v>28</v>
      </c>
      <c r="AD94" t="s">
        <v>235</v>
      </c>
      <c r="AE94" t="s">
        <v>40</v>
      </c>
      <c r="AF94" t="s">
        <v>41</v>
      </c>
      <c r="AI94">
        <f t="shared" si="2"/>
        <v>6.75</v>
      </c>
      <c r="AJ94">
        <f t="shared" si="3"/>
        <v>10.63014581273465</v>
      </c>
    </row>
    <row r="95" spans="1:36" x14ac:dyDescent="0.2">
      <c r="A95">
        <v>332020</v>
      </c>
      <c r="B95" t="s">
        <v>236</v>
      </c>
      <c r="C95">
        <v>1.6666666670000001</v>
      </c>
      <c r="D95">
        <v>2002</v>
      </c>
      <c r="E95">
        <v>2005</v>
      </c>
      <c r="F95">
        <v>3</v>
      </c>
      <c r="I95">
        <v>30</v>
      </c>
      <c r="K95">
        <v>707</v>
      </c>
      <c r="L95">
        <v>1</v>
      </c>
      <c r="M95">
        <v>4.7</v>
      </c>
      <c r="N95">
        <v>4.7</v>
      </c>
      <c r="O95">
        <v>5</v>
      </c>
      <c r="Q95">
        <v>1</v>
      </c>
      <c r="T95" t="s">
        <v>60</v>
      </c>
      <c r="U95" t="s">
        <v>164</v>
      </c>
      <c r="V95" t="s">
        <v>47</v>
      </c>
      <c r="W95" t="s">
        <v>36</v>
      </c>
      <c r="X95" t="s">
        <v>53</v>
      </c>
      <c r="Y95" t="s">
        <v>54</v>
      </c>
      <c r="Z95" t="s">
        <v>38</v>
      </c>
      <c r="AA95">
        <v>1.6666666670000001</v>
      </c>
      <c r="AB95">
        <v>5</v>
      </c>
      <c r="AC95">
        <v>1.6666666670000001</v>
      </c>
      <c r="AD95" t="s">
        <v>237</v>
      </c>
      <c r="AE95" t="s">
        <v>40</v>
      </c>
      <c r="AF95" t="s">
        <v>41</v>
      </c>
      <c r="AI95">
        <f t="shared" si="2"/>
        <v>4.7</v>
      </c>
      <c r="AJ95">
        <f t="shared" si="3"/>
        <v>26.589471600616662</v>
      </c>
    </row>
    <row r="96" spans="1:36" x14ac:dyDescent="0.2">
      <c r="A96">
        <v>323020</v>
      </c>
      <c r="B96" t="s">
        <v>238</v>
      </c>
      <c r="C96">
        <v>1</v>
      </c>
      <c r="D96">
        <v>1950</v>
      </c>
      <c r="E96">
        <v>2011</v>
      </c>
      <c r="F96">
        <v>61</v>
      </c>
      <c r="I96">
        <v>15</v>
      </c>
      <c r="J96">
        <v>3.7560566569999998</v>
      </c>
      <c r="K96">
        <v>177</v>
      </c>
      <c r="L96">
        <v>1</v>
      </c>
      <c r="M96">
        <v>9</v>
      </c>
      <c r="N96">
        <v>10</v>
      </c>
      <c r="O96">
        <v>61</v>
      </c>
      <c r="Q96">
        <v>1</v>
      </c>
      <c r="S96" t="s">
        <v>135</v>
      </c>
      <c r="T96" t="s">
        <v>60</v>
      </c>
      <c r="U96" t="s">
        <v>34</v>
      </c>
      <c r="V96" t="s">
        <v>47</v>
      </c>
      <c r="X96" t="s">
        <v>50</v>
      </c>
      <c r="Y96" t="s">
        <v>51</v>
      </c>
      <c r="Z96" t="s">
        <v>239</v>
      </c>
      <c r="AA96">
        <v>-1</v>
      </c>
      <c r="AB96">
        <v>-61</v>
      </c>
      <c r="AC96">
        <v>1</v>
      </c>
      <c r="AD96" t="s">
        <v>240</v>
      </c>
      <c r="AE96" t="s">
        <v>40</v>
      </c>
      <c r="AF96" t="s">
        <v>41</v>
      </c>
      <c r="AI96">
        <f t="shared" si="2"/>
        <v>9.5</v>
      </c>
      <c r="AJ96">
        <f t="shared" si="3"/>
        <v>13.30413469565007</v>
      </c>
    </row>
    <row r="97" spans="1:36" x14ac:dyDescent="0.2">
      <c r="A97">
        <v>222060</v>
      </c>
      <c r="B97" t="s">
        <v>241</v>
      </c>
      <c r="C97">
        <v>0.93333333299999999</v>
      </c>
      <c r="D97">
        <v>1997</v>
      </c>
      <c r="E97">
        <v>2000</v>
      </c>
      <c r="F97">
        <v>3</v>
      </c>
      <c r="I97">
        <v>6</v>
      </c>
      <c r="K97">
        <v>28</v>
      </c>
      <c r="L97">
        <v>1</v>
      </c>
      <c r="M97">
        <v>1.5</v>
      </c>
      <c r="N97">
        <v>1.5</v>
      </c>
      <c r="O97">
        <v>2.8</v>
      </c>
      <c r="Q97">
        <v>1</v>
      </c>
      <c r="T97" t="s">
        <v>60</v>
      </c>
      <c r="U97" t="s">
        <v>68</v>
      </c>
      <c r="V97" t="s">
        <v>109</v>
      </c>
      <c r="W97" t="s">
        <v>36</v>
      </c>
      <c r="X97" t="s">
        <v>50</v>
      </c>
      <c r="Y97" t="s">
        <v>51</v>
      </c>
      <c r="Z97" t="s">
        <v>71</v>
      </c>
      <c r="AA97">
        <v>-0.93</v>
      </c>
      <c r="AB97">
        <v>-2.8</v>
      </c>
      <c r="AC97">
        <v>0.93333333299999999</v>
      </c>
      <c r="AD97" t="s">
        <v>242</v>
      </c>
      <c r="AE97" t="s">
        <v>40</v>
      </c>
      <c r="AF97" t="s">
        <v>41</v>
      </c>
      <c r="AI97">
        <f t="shared" si="2"/>
        <v>1.5</v>
      </c>
      <c r="AJ97">
        <f t="shared" si="3"/>
        <v>5.2915026221291814</v>
      </c>
    </row>
    <row r="98" spans="1:36" x14ac:dyDescent="0.2">
      <c r="A98">
        <v>221101</v>
      </c>
      <c r="B98" t="s">
        <v>243</v>
      </c>
      <c r="C98">
        <v>20</v>
      </c>
      <c r="D98" s="1">
        <v>40725</v>
      </c>
      <c r="E98" s="1">
        <v>41183</v>
      </c>
      <c r="F98">
        <v>1.2547999999999999</v>
      </c>
      <c r="I98">
        <v>15</v>
      </c>
      <c r="J98">
        <v>3.7560566569999998</v>
      </c>
      <c r="K98">
        <v>177</v>
      </c>
      <c r="L98">
        <v>1</v>
      </c>
      <c r="M98">
        <v>7</v>
      </c>
      <c r="N98">
        <v>7</v>
      </c>
      <c r="O98">
        <v>25.095890409999999</v>
      </c>
      <c r="Q98">
        <v>2</v>
      </c>
      <c r="S98" t="s">
        <v>67</v>
      </c>
      <c r="T98" t="s">
        <v>45</v>
      </c>
      <c r="U98" t="s">
        <v>65</v>
      </c>
      <c r="V98" t="s">
        <v>109</v>
      </c>
      <c r="X98" t="s">
        <v>50</v>
      </c>
      <c r="Y98" t="s">
        <v>51</v>
      </c>
      <c r="Z98" t="s">
        <v>38</v>
      </c>
      <c r="AA98">
        <v>-20</v>
      </c>
      <c r="AB98">
        <v>-25.095890409999999</v>
      </c>
      <c r="AC98">
        <v>20</v>
      </c>
      <c r="AD98" t="s">
        <v>244</v>
      </c>
      <c r="AE98" t="s">
        <v>40</v>
      </c>
      <c r="AF98" t="s">
        <v>41</v>
      </c>
      <c r="AI98">
        <f t="shared" si="2"/>
        <v>7</v>
      </c>
      <c r="AJ98">
        <f t="shared" si="3"/>
        <v>13.30413469565007</v>
      </c>
    </row>
    <row r="99" spans="1:36" x14ac:dyDescent="0.2">
      <c r="A99">
        <v>353050</v>
      </c>
      <c r="B99" t="s">
        <v>245</v>
      </c>
      <c r="C99">
        <v>312.85714289999999</v>
      </c>
      <c r="D99" t="s">
        <v>246</v>
      </c>
      <c r="E99" t="s">
        <v>247</v>
      </c>
      <c r="F99">
        <v>9.5890410999999995E-2</v>
      </c>
      <c r="I99">
        <v>8</v>
      </c>
      <c r="K99">
        <v>50</v>
      </c>
      <c r="L99">
        <v>1</v>
      </c>
      <c r="M99">
        <v>2</v>
      </c>
      <c r="N99">
        <v>2</v>
      </c>
      <c r="O99">
        <v>30</v>
      </c>
      <c r="Q99">
        <v>2</v>
      </c>
      <c r="T99" t="s">
        <v>60</v>
      </c>
      <c r="U99" t="s">
        <v>61</v>
      </c>
      <c r="V99" t="s">
        <v>47</v>
      </c>
      <c r="W99" t="s">
        <v>36</v>
      </c>
      <c r="X99" t="s">
        <v>50</v>
      </c>
      <c r="Y99" t="s">
        <v>51</v>
      </c>
      <c r="Z99" t="s">
        <v>98</v>
      </c>
      <c r="AA99">
        <v>-312.86</v>
      </c>
      <c r="AB99">
        <v>-30</v>
      </c>
      <c r="AD99" t="s">
        <v>248</v>
      </c>
      <c r="AE99" t="s">
        <v>40</v>
      </c>
      <c r="AF99" t="s">
        <v>41</v>
      </c>
      <c r="AI99">
        <f t="shared" si="2"/>
        <v>2</v>
      </c>
      <c r="AJ99">
        <f t="shared" si="3"/>
        <v>7.0710678118654755</v>
      </c>
    </row>
    <row r="100" spans="1:36" x14ac:dyDescent="0.2">
      <c r="A100">
        <v>353050</v>
      </c>
      <c r="B100" t="s">
        <v>245</v>
      </c>
      <c r="C100">
        <v>1140.625</v>
      </c>
      <c r="D100" s="3">
        <v>38323</v>
      </c>
      <c r="E100" t="s">
        <v>249</v>
      </c>
      <c r="F100">
        <v>4.3835616000000001E-2</v>
      </c>
      <c r="I100">
        <v>6</v>
      </c>
      <c r="K100">
        <v>28</v>
      </c>
      <c r="L100">
        <v>1</v>
      </c>
      <c r="M100">
        <v>2.2000000000000002</v>
      </c>
      <c r="N100">
        <v>2.2000000000000002</v>
      </c>
      <c r="O100">
        <v>50</v>
      </c>
      <c r="Q100">
        <v>2</v>
      </c>
      <c r="T100" t="s">
        <v>60</v>
      </c>
      <c r="U100" t="s">
        <v>61</v>
      </c>
      <c r="V100" t="s">
        <v>47</v>
      </c>
      <c r="W100" t="s">
        <v>36</v>
      </c>
      <c r="X100" t="s">
        <v>37</v>
      </c>
      <c r="Y100" t="s">
        <v>37</v>
      </c>
      <c r="Z100" t="s">
        <v>38</v>
      </c>
      <c r="AA100">
        <v>1140.625</v>
      </c>
      <c r="AB100">
        <v>50</v>
      </c>
      <c r="AD100" t="s">
        <v>251</v>
      </c>
      <c r="AE100" t="s">
        <v>40</v>
      </c>
      <c r="AF100" t="s">
        <v>41</v>
      </c>
      <c r="AI100">
        <f t="shared" si="2"/>
        <v>2.2000000000000002</v>
      </c>
      <c r="AJ100">
        <f t="shared" si="3"/>
        <v>5.2915026221291814</v>
      </c>
    </row>
    <row r="101" spans="1:36" x14ac:dyDescent="0.2">
      <c r="A101">
        <v>351020</v>
      </c>
      <c r="B101" t="s">
        <v>252</v>
      </c>
      <c r="C101">
        <v>4</v>
      </c>
      <c r="D101">
        <v>2012</v>
      </c>
      <c r="E101">
        <v>2015</v>
      </c>
      <c r="F101">
        <v>3</v>
      </c>
      <c r="H101">
        <v>10</v>
      </c>
      <c r="I101">
        <v>20</v>
      </c>
      <c r="J101">
        <v>4.9974652129999999</v>
      </c>
      <c r="K101">
        <v>314</v>
      </c>
      <c r="L101">
        <v>1</v>
      </c>
      <c r="M101">
        <v>14</v>
      </c>
      <c r="N101">
        <v>14</v>
      </c>
      <c r="O101">
        <v>12</v>
      </c>
      <c r="Q101">
        <v>1</v>
      </c>
      <c r="S101" t="s">
        <v>59</v>
      </c>
      <c r="T101" t="s">
        <v>45</v>
      </c>
      <c r="U101" t="s">
        <v>34</v>
      </c>
      <c r="V101" t="s">
        <v>35</v>
      </c>
      <c r="X101" t="s">
        <v>37</v>
      </c>
      <c r="Y101" t="s">
        <v>37</v>
      </c>
      <c r="Z101" t="s">
        <v>38</v>
      </c>
      <c r="AA101">
        <v>4</v>
      </c>
      <c r="AB101">
        <v>12</v>
      </c>
      <c r="AC101">
        <v>4</v>
      </c>
      <c r="AD101" t="s">
        <v>253</v>
      </c>
      <c r="AE101" t="s">
        <v>40</v>
      </c>
      <c r="AF101" t="s">
        <v>41</v>
      </c>
      <c r="AI101">
        <f t="shared" si="2"/>
        <v>14</v>
      </c>
      <c r="AJ101">
        <f t="shared" si="3"/>
        <v>17.720045146669349</v>
      </c>
    </row>
    <row r="102" spans="1:36" x14ac:dyDescent="0.2">
      <c r="A102">
        <v>311290</v>
      </c>
      <c r="B102" t="s">
        <v>255</v>
      </c>
      <c r="C102">
        <v>2</v>
      </c>
      <c r="D102">
        <v>1995</v>
      </c>
      <c r="E102">
        <v>1996</v>
      </c>
      <c r="F102">
        <v>1</v>
      </c>
      <c r="I102">
        <v>7</v>
      </c>
      <c r="J102">
        <v>5</v>
      </c>
      <c r="K102">
        <v>27</v>
      </c>
      <c r="L102">
        <v>1.4</v>
      </c>
      <c r="M102">
        <v>3</v>
      </c>
      <c r="N102">
        <v>3</v>
      </c>
      <c r="O102">
        <v>2</v>
      </c>
      <c r="Q102">
        <v>2</v>
      </c>
      <c r="T102" t="s">
        <v>60</v>
      </c>
      <c r="U102" t="s">
        <v>46</v>
      </c>
      <c r="V102" t="s">
        <v>47</v>
      </c>
      <c r="W102" t="s">
        <v>36</v>
      </c>
      <c r="X102" t="s">
        <v>50</v>
      </c>
      <c r="Y102" t="s">
        <v>51</v>
      </c>
      <c r="Z102" t="s">
        <v>38</v>
      </c>
      <c r="AA102">
        <v>-2</v>
      </c>
      <c r="AB102">
        <v>-2</v>
      </c>
      <c r="AC102">
        <v>2</v>
      </c>
      <c r="AD102" t="s">
        <v>256</v>
      </c>
      <c r="AE102" t="s">
        <v>40</v>
      </c>
      <c r="AF102" t="s">
        <v>41</v>
      </c>
      <c r="AI102">
        <f t="shared" si="2"/>
        <v>3</v>
      </c>
      <c r="AJ102">
        <f t="shared" si="3"/>
        <v>5.196152422706632</v>
      </c>
    </row>
    <row r="103" spans="1:36" x14ac:dyDescent="0.2">
      <c r="A103">
        <v>311290</v>
      </c>
      <c r="B103" t="s">
        <v>255</v>
      </c>
      <c r="C103">
        <v>5</v>
      </c>
      <c r="D103">
        <v>2005</v>
      </c>
      <c r="E103">
        <v>2006</v>
      </c>
      <c r="F103">
        <v>1</v>
      </c>
      <c r="I103">
        <v>6</v>
      </c>
      <c r="K103">
        <v>28</v>
      </c>
      <c r="L103">
        <v>1</v>
      </c>
      <c r="M103">
        <v>3</v>
      </c>
      <c r="N103">
        <v>3</v>
      </c>
      <c r="O103">
        <v>5</v>
      </c>
      <c r="Q103">
        <v>2</v>
      </c>
      <c r="T103" t="s">
        <v>60</v>
      </c>
      <c r="U103" t="s">
        <v>46</v>
      </c>
      <c r="V103" t="s">
        <v>47</v>
      </c>
      <c r="W103" t="s">
        <v>36</v>
      </c>
      <c r="X103" t="s">
        <v>37</v>
      </c>
      <c r="Y103" t="s">
        <v>37</v>
      </c>
      <c r="Z103" t="s">
        <v>38</v>
      </c>
      <c r="AA103">
        <v>5</v>
      </c>
      <c r="AB103">
        <v>5</v>
      </c>
      <c r="AC103">
        <v>5</v>
      </c>
      <c r="AD103" t="s">
        <v>257</v>
      </c>
      <c r="AE103" t="s">
        <v>40</v>
      </c>
      <c r="AF103" t="s">
        <v>41</v>
      </c>
      <c r="AI103">
        <f t="shared" si="2"/>
        <v>3</v>
      </c>
      <c r="AJ103">
        <f t="shared" si="3"/>
        <v>5.2915026221291814</v>
      </c>
    </row>
    <row r="104" spans="1:36" x14ac:dyDescent="0.2">
      <c r="A104">
        <v>311290</v>
      </c>
      <c r="B104" t="s">
        <v>255</v>
      </c>
      <c r="C104">
        <v>5</v>
      </c>
      <c r="D104">
        <v>2004</v>
      </c>
      <c r="E104">
        <v>2005</v>
      </c>
      <c r="F104">
        <v>1</v>
      </c>
      <c r="I104">
        <v>4</v>
      </c>
      <c r="K104">
        <v>13</v>
      </c>
      <c r="L104">
        <v>1</v>
      </c>
      <c r="M104">
        <v>3</v>
      </c>
      <c r="N104">
        <v>3</v>
      </c>
      <c r="O104">
        <v>5</v>
      </c>
      <c r="Q104">
        <v>2</v>
      </c>
      <c r="T104" t="s">
        <v>60</v>
      </c>
      <c r="U104" t="s">
        <v>46</v>
      </c>
      <c r="V104" t="s">
        <v>47</v>
      </c>
      <c r="W104" t="s">
        <v>36</v>
      </c>
      <c r="X104" t="s">
        <v>50</v>
      </c>
      <c r="Y104" t="s">
        <v>51</v>
      </c>
      <c r="Z104" t="s">
        <v>38</v>
      </c>
      <c r="AA104">
        <v>-5</v>
      </c>
      <c r="AB104">
        <v>-5</v>
      </c>
      <c r="AC104">
        <v>5</v>
      </c>
      <c r="AD104" t="s">
        <v>258</v>
      </c>
      <c r="AE104" t="s">
        <v>40</v>
      </c>
      <c r="AF104" t="s">
        <v>41</v>
      </c>
      <c r="AI104">
        <f t="shared" si="2"/>
        <v>3</v>
      </c>
      <c r="AJ104">
        <f t="shared" si="3"/>
        <v>3.6055512754639891</v>
      </c>
    </row>
    <row r="105" spans="1:36" x14ac:dyDescent="0.2">
      <c r="A105">
        <v>311290</v>
      </c>
      <c r="B105" t="s">
        <v>255</v>
      </c>
      <c r="C105">
        <v>6.6666666670000003</v>
      </c>
      <c r="D105">
        <v>1992</v>
      </c>
      <c r="E105">
        <v>1995</v>
      </c>
      <c r="F105">
        <v>3</v>
      </c>
      <c r="I105">
        <v>10</v>
      </c>
      <c r="K105">
        <v>79</v>
      </c>
      <c r="L105">
        <v>1</v>
      </c>
      <c r="M105">
        <v>3</v>
      </c>
      <c r="N105">
        <v>3</v>
      </c>
      <c r="O105">
        <v>20</v>
      </c>
      <c r="Q105">
        <v>2</v>
      </c>
      <c r="T105" t="s">
        <v>60</v>
      </c>
      <c r="U105" t="s">
        <v>46</v>
      </c>
      <c r="V105" t="s">
        <v>47</v>
      </c>
      <c r="W105" t="s">
        <v>36</v>
      </c>
      <c r="X105" t="s">
        <v>37</v>
      </c>
      <c r="Y105" t="s">
        <v>37</v>
      </c>
      <c r="Z105" t="s">
        <v>38</v>
      </c>
      <c r="AA105">
        <v>6.6666666670000003</v>
      </c>
      <c r="AB105">
        <v>20</v>
      </c>
      <c r="AC105">
        <v>6.6666666670000003</v>
      </c>
      <c r="AD105" t="s">
        <v>259</v>
      </c>
      <c r="AE105" t="s">
        <v>40</v>
      </c>
      <c r="AF105" t="s">
        <v>41</v>
      </c>
      <c r="AI105">
        <f t="shared" si="2"/>
        <v>3</v>
      </c>
      <c r="AJ105">
        <f t="shared" si="3"/>
        <v>8.8881944173155887</v>
      </c>
    </row>
    <row r="106" spans="1:36" x14ac:dyDescent="0.2">
      <c r="A106">
        <v>311290</v>
      </c>
      <c r="B106" t="s">
        <v>255</v>
      </c>
      <c r="C106">
        <v>13</v>
      </c>
      <c r="D106">
        <v>2008</v>
      </c>
      <c r="E106">
        <v>2014</v>
      </c>
      <c r="F106">
        <v>6</v>
      </c>
      <c r="I106">
        <v>12</v>
      </c>
      <c r="J106">
        <v>2.997418095</v>
      </c>
      <c r="K106">
        <v>113</v>
      </c>
      <c r="L106">
        <v>1</v>
      </c>
      <c r="M106">
        <v>3.9</v>
      </c>
      <c r="N106">
        <v>3.9</v>
      </c>
      <c r="O106">
        <v>78</v>
      </c>
      <c r="Q106">
        <v>2</v>
      </c>
      <c r="S106" t="s">
        <v>44</v>
      </c>
      <c r="T106" t="s">
        <v>60</v>
      </c>
      <c r="U106" t="s">
        <v>46</v>
      </c>
      <c r="V106" t="s">
        <v>47</v>
      </c>
      <c r="X106" t="s">
        <v>37</v>
      </c>
      <c r="Y106" t="s">
        <v>37</v>
      </c>
      <c r="Z106" t="s">
        <v>48</v>
      </c>
      <c r="AA106">
        <v>13</v>
      </c>
      <c r="AB106">
        <v>78</v>
      </c>
      <c r="AC106">
        <v>13</v>
      </c>
      <c r="AD106" t="s">
        <v>260</v>
      </c>
      <c r="AE106" t="s">
        <v>40</v>
      </c>
      <c r="AF106" t="s">
        <v>41</v>
      </c>
      <c r="AI106">
        <f t="shared" si="2"/>
        <v>3.9</v>
      </c>
      <c r="AJ106">
        <f t="shared" si="3"/>
        <v>10.63014581273465</v>
      </c>
    </row>
    <row r="107" spans="1:36" x14ac:dyDescent="0.2">
      <c r="A107">
        <v>311290</v>
      </c>
      <c r="B107" t="s">
        <v>255</v>
      </c>
      <c r="C107">
        <v>13.518518520000001</v>
      </c>
      <c r="D107" s="1">
        <v>39234</v>
      </c>
      <c r="E107" s="2">
        <v>39639</v>
      </c>
      <c r="F107">
        <v>1.109589041</v>
      </c>
      <c r="I107">
        <v>10</v>
      </c>
      <c r="K107">
        <v>79</v>
      </c>
      <c r="L107">
        <v>1</v>
      </c>
      <c r="M107">
        <v>3</v>
      </c>
      <c r="N107">
        <v>3</v>
      </c>
      <c r="O107">
        <v>15</v>
      </c>
      <c r="Q107">
        <v>2</v>
      </c>
      <c r="T107" t="s">
        <v>60</v>
      </c>
      <c r="U107" t="s">
        <v>46</v>
      </c>
      <c r="V107" t="s">
        <v>47</v>
      </c>
      <c r="W107" t="s">
        <v>36</v>
      </c>
      <c r="X107" t="s">
        <v>37</v>
      </c>
      <c r="Y107" t="s">
        <v>37</v>
      </c>
      <c r="Z107" t="s">
        <v>38</v>
      </c>
      <c r="AA107">
        <v>13.518518520000001</v>
      </c>
      <c r="AB107">
        <v>15</v>
      </c>
      <c r="AC107">
        <v>13.518518520000001</v>
      </c>
      <c r="AD107" t="s">
        <v>261</v>
      </c>
      <c r="AE107" t="s">
        <v>40</v>
      </c>
      <c r="AF107" t="s">
        <v>41</v>
      </c>
      <c r="AI107">
        <f t="shared" si="2"/>
        <v>3</v>
      </c>
      <c r="AJ107">
        <f t="shared" si="3"/>
        <v>8.8881944173155887</v>
      </c>
    </row>
    <row r="108" spans="1:36" x14ac:dyDescent="0.2">
      <c r="A108">
        <v>311290</v>
      </c>
      <c r="B108" t="s">
        <v>255</v>
      </c>
      <c r="C108">
        <v>20</v>
      </c>
      <c r="D108">
        <v>1997</v>
      </c>
      <c r="E108">
        <v>2004</v>
      </c>
      <c r="F108">
        <v>7</v>
      </c>
      <c r="I108">
        <v>12</v>
      </c>
      <c r="J108">
        <v>2.997418095</v>
      </c>
      <c r="K108">
        <v>113</v>
      </c>
      <c r="L108">
        <v>1</v>
      </c>
      <c r="M108">
        <v>3</v>
      </c>
      <c r="N108">
        <v>3</v>
      </c>
      <c r="O108">
        <v>140</v>
      </c>
      <c r="Q108">
        <v>2</v>
      </c>
      <c r="S108" t="s">
        <v>44</v>
      </c>
      <c r="T108" t="s">
        <v>60</v>
      </c>
      <c r="U108" t="s">
        <v>46</v>
      </c>
      <c r="V108" t="s">
        <v>47</v>
      </c>
      <c r="X108" t="s">
        <v>37</v>
      </c>
      <c r="Y108" t="s">
        <v>37</v>
      </c>
      <c r="Z108" t="s">
        <v>38</v>
      </c>
      <c r="AA108">
        <v>20</v>
      </c>
      <c r="AB108">
        <v>140</v>
      </c>
      <c r="AC108">
        <v>20</v>
      </c>
      <c r="AD108" t="s">
        <v>262</v>
      </c>
      <c r="AE108" t="s">
        <v>40</v>
      </c>
      <c r="AF108" t="s">
        <v>41</v>
      </c>
      <c r="AI108">
        <f t="shared" si="2"/>
        <v>3</v>
      </c>
      <c r="AJ108">
        <f t="shared" si="3"/>
        <v>10.63014581273465</v>
      </c>
    </row>
    <row r="109" spans="1:36" x14ac:dyDescent="0.2">
      <c r="A109">
        <v>311290</v>
      </c>
      <c r="B109" t="s">
        <v>255</v>
      </c>
      <c r="C109">
        <v>153.19343069999999</v>
      </c>
      <c r="D109" s="1">
        <v>39356</v>
      </c>
      <c r="E109" s="1">
        <v>39630</v>
      </c>
      <c r="F109">
        <v>0.75068493199999997</v>
      </c>
      <c r="I109">
        <v>12</v>
      </c>
      <c r="K109">
        <v>113</v>
      </c>
      <c r="L109">
        <v>1</v>
      </c>
      <c r="M109">
        <v>1.9</v>
      </c>
      <c r="N109">
        <v>1.9</v>
      </c>
      <c r="O109">
        <v>115</v>
      </c>
      <c r="Q109">
        <v>2</v>
      </c>
      <c r="T109" t="s">
        <v>60</v>
      </c>
      <c r="U109" t="s">
        <v>46</v>
      </c>
      <c r="V109" t="s">
        <v>47</v>
      </c>
      <c r="W109" t="s">
        <v>36</v>
      </c>
      <c r="X109" t="s">
        <v>50</v>
      </c>
      <c r="Y109" t="s">
        <v>51</v>
      </c>
      <c r="Z109" t="s">
        <v>98</v>
      </c>
      <c r="AA109">
        <v>-153.19</v>
      </c>
      <c r="AB109">
        <v>-115</v>
      </c>
      <c r="AC109">
        <v>153.19343069999999</v>
      </c>
      <c r="AD109" t="s">
        <v>263</v>
      </c>
      <c r="AE109" t="s">
        <v>40</v>
      </c>
      <c r="AF109" t="s">
        <v>41</v>
      </c>
      <c r="AI109">
        <f t="shared" si="2"/>
        <v>1.9</v>
      </c>
      <c r="AJ109">
        <f t="shared" si="3"/>
        <v>10.63014581273465</v>
      </c>
    </row>
    <row r="110" spans="1:36" x14ac:dyDescent="0.2">
      <c r="A110">
        <v>357150</v>
      </c>
      <c r="B110" t="s">
        <v>264</v>
      </c>
      <c r="C110">
        <v>16</v>
      </c>
      <c r="D110">
        <v>2013</v>
      </c>
      <c r="E110">
        <v>2015</v>
      </c>
      <c r="F110">
        <v>2</v>
      </c>
      <c r="I110">
        <v>15</v>
      </c>
      <c r="J110">
        <v>10</v>
      </c>
      <c r="K110">
        <v>118</v>
      </c>
      <c r="L110">
        <v>1.5</v>
      </c>
      <c r="M110">
        <v>4.5</v>
      </c>
      <c r="N110">
        <v>6</v>
      </c>
      <c r="O110">
        <v>32</v>
      </c>
      <c r="Q110">
        <v>2</v>
      </c>
      <c r="S110" t="s">
        <v>59</v>
      </c>
      <c r="T110" t="s">
        <v>45</v>
      </c>
      <c r="U110" t="s">
        <v>34</v>
      </c>
      <c r="V110" t="s">
        <v>35</v>
      </c>
      <c r="X110" t="s">
        <v>37</v>
      </c>
      <c r="Y110" t="s">
        <v>37</v>
      </c>
      <c r="Z110" t="s">
        <v>266</v>
      </c>
      <c r="AA110">
        <v>16</v>
      </c>
      <c r="AB110">
        <v>32</v>
      </c>
      <c r="AC110">
        <v>16</v>
      </c>
      <c r="AD110" t="s">
        <v>267</v>
      </c>
      <c r="AE110" t="s">
        <v>40</v>
      </c>
      <c r="AF110" t="s">
        <v>41</v>
      </c>
      <c r="AI110">
        <f t="shared" si="2"/>
        <v>5.25</v>
      </c>
      <c r="AJ110">
        <f t="shared" si="3"/>
        <v>10.862780491200215</v>
      </c>
    </row>
    <row r="111" spans="1:36" x14ac:dyDescent="0.2">
      <c r="A111">
        <v>357150</v>
      </c>
      <c r="B111" t="s">
        <v>264</v>
      </c>
      <c r="C111">
        <v>20</v>
      </c>
      <c r="D111">
        <v>2007</v>
      </c>
      <c r="E111">
        <v>2009</v>
      </c>
      <c r="F111">
        <v>2</v>
      </c>
      <c r="H111" t="s">
        <v>265</v>
      </c>
      <c r="I111">
        <v>30</v>
      </c>
      <c r="J111">
        <v>18</v>
      </c>
      <c r="K111">
        <v>20</v>
      </c>
      <c r="L111">
        <v>1.6666666670000001</v>
      </c>
      <c r="M111">
        <v>5</v>
      </c>
      <c r="N111">
        <v>9</v>
      </c>
      <c r="O111">
        <v>40</v>
      </c>
      <c r="Q111">
        <v>2</v>
      </c>
      <c r="S111" t="s">
        <v>59</v>
      </c>
      <c r="T111" t="s">
        <v>45</v>
      </c>
      <c r="U111" t="s">
        <v>34</v>
      </c>
      <c r="V111" t="s">
        <v>35</v>
      </c>
      <c r="X111" t="s">
        <v>37</v>
      </c>
      <c r="Y111" t="s">
        <v>37</v>
      </c>
      <c r="Z111" t="s">
        <v>38</v>
      </c>
      <c r="AA111">
        <v>20</v>
      </c>
      <c r="AB111">
        <v>40</v>
      </c>
      <c r="AC111">
        <v>20</v>
      </c>
      <c r="AD111" t="s">
        <v>268</v>
      </c>
      <c r="AE111" t="s">
        <v>40</v>
      </c>
      <c r="AF111" t="s">
        <v>41</v>
      </c>
      <c r="AI111">
        <f t="shared" si="2"/>
        <v>7</v>
      </c>
      <c r="AJ111">
        <f t="shared" si="3"/>
        <v>4.4721359549995796</v>
      </c>
    </row>
    <row r="112" spans="1:36" x14ac:dyDescent="0.2">
      <c r="A112">
        <v>357150</v>
      </c>
      <c r="B112" t="s">
        <v>264</v>
      </c>
      <c r="C112">
        <v>30.416666670000001</v>
      </c>
      <c r="D112" s="3">
        <v>40789</v>
      </c>
      <c r="E112" s="3">
        <v>40760</v>
      </c>
      <c r="F112">
        <v>0.16438356200000001</v>
      </c>
      <c r="I112">
        <v>8</v>
      </c>
      <c r="K112">
        <v>50</v>
      </c>
      <c r="L112">
        <v>2</v>
      </c>
      <c r="M112">
        <v>4</v>
      </c>
      <c r="N112">
        <v>4</v>
      </c>
      <c r="O112">
        <v>5</v>
      </c>
      <c r="Q112">
        <v>2</v>
      </c>
      <c r="T112" t="s">
        <v>45</v>
      </c>
      <c r="U112" t="s">
        <v>34</v>
      </c>
      <c r="V112" t="s">
        <v>35</v>
      </c>
      <c r="W112" t="s">
        <v>36</v>
      </c>
      <c r="X112" t="s">
        <v>37</v>
      </c>
      <c r="Y112" t="s">
        <v>37</v>
      </c>
      <c r="Z112" t="s">
        <v>38</v>
      </c>
      <c r="AA112">
        <v>30.416666670000001</v>
      </c>
      <c r="AB112">
        <v>5</v>
      </c>
      <c r="AC112">
        <v>30.416666670000001</v>
      </c>
      <c r="AD112" t="s">
        <v>269</v>
      </c>
      <c r="AE112" t="s">
        <v>40</v>
      </c>
      <c r="AF112" t="s">
        <v>41</v>
      </c>
      <c r="AI112">
        <f t="shared" si="2"/>
        <v>4</v>
      </c>
      <c r="AJ112">
        <f t="shared" si="3"/>
        <v>7.0710678118654755</v>
      </c>
    </row>
    <row r="113" spans="1:36" x14ac:dyDescent="0.2">
      <c r="A113">
        <v>357150</v>
      </c>
      <c r="B113" t="s">
        <v>264</v>
      </c>
      <c r="C113">
        <v>45</v>
      </c>
      <c r="D113">
        <v>2012</v>
      </c>
      <c r="E113">
        <v>2013</v>
      </c>
      <c r="F113">
        <v>1</v>
      </c>
      <c r="H113" t="s">
        <v>265</v>
      </c>
      <c r="I113">
        <v>15</v>
      </c>
      <c r="J113">
        <v>10</v>
      </c>
      <c r="K113">
        <v>118</v>
      </c>
      <c r="L113">
        <v>1.5</v>
      </c>
      <c r="M113">
        <v>4.5</v>
      </c>
      <c r="N113">
        <v>6</v>
      </c>
      <c r="O113">
        <v>45</v>
      </c>
      <c r="Q113">
        <v>2</v>
      </c>
      <c r="S113" t="s">
        <v>59</v>
      </c>
      <c r="T113" t="s">
        <v>45</v>
      </c>
      <c r="U113" t="s">
        <v>34</v>
      </c>
      <c r="V113" t="s">
        <v>35</v>
      </c>
      <c r="X113" t="s">
        <v>37</v>
      </c>
      <c r="Y113" t="s">
        <v>37</v>
      </c>
      <c r="Z113" t="s">
        <v>266</v>
      </c>
      <c r="AA113">
        <v>45</v>
      </c>
      <c r="AB113">
        <v>45</v>
      </c>
      <c r="AC113">
        <v>45</v>
      </c>
      <c r="AD113" t="s">
        <v>270</v>
      </c>
      <c r="AE113" t="s">
        <v>40</v>
      </c>
      <c r="AF113" t="s">
        <v>41</v>
      </c>
      <c r="AI113">
        <f t="shared" si="2"/>
        <v>5.25</v>
      </c>
      <c r="AJ113">
        <f t="shared" si="3"/>
        <v>10.862780491200215</v>
      </c>
    </row>
    <row r="114" spans="1:36" x14ac:dyDescent="0.2">
      <c r="A114">
        <v>355210</v>
      </c>
      <c r="B114" t="s">
        <v>271</v>
      </c>
      <c r="C114">
        <v>1</v>
      </c>
      <c r="D114">
        <v>1992</v>
      </c>
      <c r="E114">
        <v>2011</v>
      </c>
      <c r="F114">
        <v>19</v>
      </c>
      <c r="H114">
        <v>8</v>
      </c>
      <c r="I114">
        <v>20</v>
      </c>
      <c r="K114">
        <v>314</v>
      </c>
      <c r="L114">
        <v>1</v>
      </c>
      <c r="M114">
        <v>4.5</v>
      </c>
      <c r="N114">
        <v>6</v>
      </c>
      <c r="O114">
        <v>19</v>
      </c>
      <c r="Q114">
        <v>1</v>
      </c>
      <c r="S114" t="s">
        <v>59</v>
      </c>
      <c r="T114" t="s">
        <v>33</v>
      </c>
      <c r="U114" t="s">
        <v>34</v>
      </c>
      <c r="V114" t="s">
        <v>69</v>
      </c>
      <c r="X114" t="s">
        <v>50</v>
      </c>
      <c r="Y114" t="s">
        <v>51</v>
      </c>
      <c r="Z114" t="s">
        <v>71</v>
      </c>
      <c r="AA114">
        <v>-1</v>
      </c>
      <c r="AB114">
        <v>-19</v>
      </c>
      <c r="AC114">
        <v>1</v>
      </c>
      <c r="AD114" t="s">
        <v>272</v>
      </c>
      <c r="AE114" t="s">
        <v>40</v>
      </c>
      <c r="AF114" t="s">
        <v>41</v>
      </c>
      <c r="AI114">
        <f t="shared" si="2"/>
        <v>5.25</v>
      </c>
      <c r="AJ114">
        <f t="shared" si="3"/>
        <v>17.720045146669349</v>
      </c>
    </row>
    <row r="115" spans="1:36" x14ac:dyDescent="0.2">
      <c r="A115">
        <v>354006</v>
      </c>
      <c r="B115" t="s">
        <v>273</v>
      </c>
      <c r="C115">
        <v>2</v>
      </c>
      <c r="D115">
        <v>1992</v>
      </c>
      <c r="E115">
        <v>1997</v>
      </c>
      <c r="F115">
        <v>5</v>
      </c>
      <c r="H115">
        <v>7</v>
      </c>
      <c r="I115">
        <v>50</v>
      </c>
      <c r="K115">
        <v>1963</v>
      </c>
      <c r="L115">
        <v>1</v>
      </c>
      <c r="M115">
        <v>11</v>
      </c>
      <c r="N115">
        <v>13</v>
      </c>
      <c r="O115">
        <v>10</v>
      </c>
      <c r="Q115">
        <v>1</v>
      </c>
      <c r="S115" t="s">
        <v>59</v>
      </c>
      <c r="T115" t="s">
        <v>87</v>
      </c>
      <c r="U115" t="s">
        <v>34</v>
      </c>
      <c r="V115" t="s">
        <v>35</v>
      </c>
      <c r="X115" t="s">
        <v>37</v>
      </c>
      <c r="Y115" t="s">
        <v>37</v>
      </c>
      <c r="Z115" t="s">
        <v>38</v>
      </c>
      <c r="AA115">
        <v>2</v>
      </c>
      <c r="AB115">
        <v>10</v>
      </c>
      <c r="AC115">
        <v>2</v>
      </c>
      <c r="AD115" t="s">
        <v>274</v>
      </c>
      <c r="AE115" t="s">
        <v>40</v>
      </c>
      <c r="AF115" t="s">
        <v>41</v>
      </c>
      <c r="AI115">
        <f t="shared" si="2"/>
        <v>12</v>
      </c>
      <c r="AJ115">
        <f t="shared" si="3"/>
        <v>44.305755833751441</v>
      </c>
    </row>
    <row r="116" spans="1:36" x14ac:dyDescent="0.2">
      <c r="A116">
        <v>212040</v>
      </c>
      <c r="B116" t="s">
        <v>275</v>
      </c>
      <c r="C116">
        <v>12.303370790000001</v>
      </c>
      <c r="D116" s="1">
        <v>40210</v>
      </c>
      <c r="E116" s="1">
        <v>40299</v>
      </c>
      <c r="F116">
        <v>0.24383561600000001</v>
      </c>
      <c r="I116">
        <v>11</v>
      </c>
      <c r="K116">
        <v>95</v>
      </c>
      <c r="L116">
        <v>1</v>
      </c>
      <c r="M116">
        <v>3.5</v>
      </c>
      <c r="N116">
        <v>6</v>
      </c>
      <c r="O116">
        <v>3</v>
      </c>
      <c r="Q116">
        <v>1</v>
      </c>
      <c r="T116" t="s">
        <v>229</v>
      </c>
      <c r="U116" t="s">
        <v>34</v>
      </c>
      <c r="V116" t="s">
        <v>232</v>
      </c>
      <c r="W116" t="s">
        <v>36</v>
      </c>
      <c r="X116" t="s">
        <v>50</v>
      </c>
      <c r="Y116" t="s">
        <v>51</v>
      </c>
      <c r="AA116">
        <v>-12.3</v>
      </c>
      <c r="AB116">
        <v>-3</v>
      </c>
      <c r="AC116">
        <v>12.303370790000001</v>
      </c>
      <c r="AD116" t="s">
        <v>276</v>
      </c>
      <c r="AE116" t="s">
        <v>40</v>
      </c>
      <c r="AF116" t="s">
        <v>41</v>
      </c>
      <c r="AI116">
        <f t="shared" si="2"/>
        <v>4.75</v>
      </c>
      <c r="AJ116">
        <f t="shared" si="3"/>
        <v>9.7467943448089631</v>
      </c>
    </row>
    <row r="117" spans="1:36" x14ac:dyDescent="0.2">
      <c r="A117">
        <v>212040</v>
      </c>
      <c r="B117" t="s">
        <v>275</v>
      </c>
      <c r="C117">
        <v>14</v>
      </c>
      <c r="D117">
        <v>2011</v>
      </c>
      <c r="E117">
        <v>2012</v>
      </c>
      <c r="F117">
        <v>1</v>
      </c>
      <c r="I117">
        <v>11</v>
      </c>
      <c r="K117">
        <v>95</v>
      </c>
      <c r="L117">
        <v>1</v>
      </c>
      <c r="M117">
        <v>3.5</v>
      </c>
      <c r="N117">
        <v>6</v>
      </c>
      <c r="O117">
        <v>14</v>
      </c>
      <c r="Q117">
        <v>1</v>
      </c>
      <c r="T117" t="s">
        <v>229</v>
      </c>
      <c r="U117" t="s">
        <v>34</v>
      </c>
      <c r="V117" t="s">
        <v>232</v>
      </c>
      <c r="W117" t="s">
        <v>36</v>
      </c>
      <c r="X117" t="s">
        <v>37</v>
      </c>
      <c r="Y117" t="s">
        <v>37</v>
      </c>
      <c r="Z117" t="s">
        <v>38</v>
      </c>
      <c r="AA117">
        <v>14</v>
      </c>
      <c r="AB117">
        <v>14</v>
      </c>
      <c r="AC117">
        <v>14</v>
      </c>
      <c r="AD117" t="s">
        <v>277</v>
      </c>
      <c r="AE117" t="s">
        <v>40</v>
      </c>
      <c r="AF117" t="s">
        <v>41</v>
      </c>
      <c r="AI117">
        <f t="shared" si="2"/>
        <v>4.75</v>
      </c>
      <c r="AJ117">
        <f t="shared" si="3"/>
        <v>9.7467943448089631</v>
      </c>
    </row>
    <row r="118" spans="1:36" x14ac:dyDescent="0.2">
      <c r="A118">
        <v>311180</v>
      </c>
      <c r="B118" t="s">
        <v>278</v>
      </c>
      <c r="C118">
        <v>0.8</v>
      </c>
      <c r="D118" s="1">
        <v>38534</v>
      </c>
      <c r="E118" s="1">
        <v>39264</v>
      </c>
      <c r="F118">
        <v>2</v>
      </c>
      <c r="H118">
        <v>8</v>
      </c>
      <c r="I118">
        <v>10</v>
      </c>
      <c r="K118">
        <v>79</v>
      </c>
      <c r="L118">
        <v>1</v>
      </c>
      <c r="M118">
        <v>5.5</v>
      </c>
      <c r="N118">
        <v>5.5</v>
      </c>
      <c r="O118">
        <v>1.6</v>
      </c>
      <c r="Q118">
        <v>1</v>
      </c>
      <c r="S118" t="s">
        <v>44</v>
      </c>
      <c r="T118" t="s">
        <v>87</v>
      </c>
      <c r="U118" t="s">
        <v>46</v>
      </c>
      <c r="V118" t="s">
        <v>35</v>
      </c>
      <c r="X118" t="s">
        <v>37</v>
      </c>
      <c r="Y118" t="s">
        <v>37</v>
      </c>
      <c r="Z118" t="s">
        <v>38</v>
      </c>
      <c r="AA118">
        <v>0.8</v>
      </c>
      <c r="AB118">
        <v>1.6</v>
      </c>
      <c r="AC118">
        <v>0.8</v>
      </c>
      <c r="AD118" t="s">
        <v>279</v>
      </c>
      <c r="AE118" t="s">
        <v>40</v>
      </c>
      <c r="AF118" t="s">
        <v>41</v>
      </c>
      <c r="AI118">
        <f t="shared" si="2"/>
        <v>5.5</v>
      </c>
      <c r="AJ118">
        <f t="shared" si="3"/>
        <v>8.8881944173155887</v>
      </c>
    </row>
    <row r="119" spans="1:36" x14ac:dyDescent="0.2">
      <c r="A119">
        <v>311180</v>
      </c>
      <c r="B119" t="s">
        <v>278</v>
      </c>
      <c r="C119">
        <v>1.6</v>
      </c>
      <c r="D119" s="1">
        <v>36770</v>
      </c>
      <c r="E119" s="1">
        <v>38534</v>
      </c>
      <c r="F119">
        <v>4.8329000000000004</v>
      </c>
      <c r="H119">
        <v>8</v>
      </c>
      <c r="I119">
        <v>6</v>
      </c>
      <c r="K119">
        <v>28</v>
      </c>
      <c r="L119">
        <v>1</v>
      </c>
      <c r="M119">
        <v>2</v>
      </c>
      <c r="N119">
        <v>2</v>
      </c>
      <c r="O119">
        <v>7.7326027399999999</v>
      </c>
      <c r="Q119">
        <v>1</v>
      </c>
      <c r="S119" t="s">
        <v>44</v>
      </c>
      <c r="T119" t="s">
        <v>87</v>
      </c>
      <c r="U119" t="s">
        <v>46</v>
      </c>
      <c r="V119" t="s">
        <v>35</v>
      </c>
      <c r="X119" t="s">
        <v>50</v>
      </c>
      <c r="Y119" t="s">
        <v>51</v>
      </c>
      <c r="Z119" t="s">
        <v>38</v>
      </c>
      <c r="AA119">
        <v>-1.6</v>
      </c>
      <c r="AB119">
        <v>-7.7326027399999999</v>
      </c>
      <c r="AC119">
        <v>1.6</v>
      </c>
      <c r="AD119" t="s">
        <v>280</v>
      </c>
      <c r="AE119" t="s">
        <v>40</v>
      </c>
      <c r="AF119" t="s">
        <v>41</v>
      </c>
      <c r="AI119">
        <f t="shared" si="2"/>
        <v>2</v>
      </c>
      <c r="AJ119">
        <f t="shared" si="3"/>
        <v>5.2915026221291814</v>
      </c>
    </row>
    <row r="120" spans="1:36" x14ac:dyDescent="0.2">
      <c r="A120">
        <v>311180</v>
      </c>
      <c r="B120" t="s">
        <v>278</v>
      </c>
      <c r="C120">
        <v>1.6</v>
      </c>
      <c r="D120" s="1">
        <v>34243</v>
      </c>
      <c r="E120" s="1">
        <v>36100</v>
      </c>
      <c r="F120">
        <v>5.0876999999999999</v>
      </c>
      <c r="H120">
        <v>8</v>
      </c>
      <c r="I120">
        <v>5</v>
      </c>
      <c r="K120">
        <v>20</v>
      </c>
      <c r="L120">
        <v>1</v>
      </c>
      <c r="M120">
        <v>2</v>
      </c>
      <c r="N120">
        <v>2</v>
      </c>
      <c r="O120">
        <v>8.1402739729999993</v>
      </c>
      <c r="Q120">
        <v>1</v>
      </c>
      <c r="S120" t="s">
        <v>44</v>
      </c>
      <c r="T120" t="s">
        <v>87</v>
      </c>
      <c r="U120" t="s">
        <v>46</v>
      </c>
      <c r="V120" t="s">
        <v>35</v>
      </c>
      <c r="X120" t="s">
        <v>50</v>
      </c>
      <c r="Y120" t="s">
        <v>51</v>
      </c>
      <c r="Z120" t="s">
        <v>38</v>
      </c>
      <c r="AA120">
        <v>-1.6</v>
      </c>
      <c r="AB120">
        <v>-8.1402739729999993</v>
      </c>
      <c r="AC120">
        <v>1.6</v>
      </c>
      <c r="AD120" t="s">
        <v>281</v>
      </c>
      <c r="AE120" t="s">
        <v>40</v>
      </c>
      <c r="AF120" t="s">
        <v>41</v>
      </c>
      <c r="AI120">
        <f t="shared" si="2"/>
        <v>2</v>
      </c>
      <c r="AJ120">
        <f t="shared" si="3"/>
        <v>4.4721359549995796</v>
      </c>
    </row>
    <row r="121" spans="1:36" x14ac:dyDescent="0.2">
      <c r="A121">
        <v>311180</v>
      </c>
      <c r="B121" t="s">
        <v>278</v>
      </c>
      <c r="C121">
        <v>2</v>
      </c>
      <c r="D121" s="1">
        <v>36100</v>
      </c>
      <c r="E121" s="1">
        <v>36770</v>
      </c>
      <c r="F121">
        <v>1.8355999999999999</v>
      </c>
      <c r="H121">
        <v>8</v>
      </c>
      <c r="I121">
        <v>12</v>
      </c>
      <c r="K121">
        <v>113</v>
      </c>
      <c r="L121">
        <v>1</v>
      </c>
      <c r="M121">
        <v>5.5</v>
      </c>
      <c r="N121">
        <v>5.5</v>
      </c>
      <c r="O121">
        <v>3.671232877</v>
      </c>
      <c r="Q121">
        <v>1</v>
      </c>
      <c r="S121" t="s">
        <v>44</v>
      </c>
      <c r="T121" t="s">
        <v>87</v>
      </c>
      <c r="U121" t="s">
        <v>46</v>
      </c>
      <c r="V121" t="s">
        <v>35</v>
      </c>
      <c r="X121" t="s">
        <v>37</v>
      </c>
      <c r="Y121" t="s">
        <v>37</v>
      </c>
      <c r="Z121" t="s">
        <v>38</v>
      </c>
      <c r="AA121">
        <v>2</v>
      </c>
      <c r="AB121">
        <v>3.671232877</v>
      </c>
      <c r="AC121">
        <v>2</v>
      </c>
      <c r="AD121" t="s">
        <v>282</v>
      </c>
      <c r="AE121" t="s">
        <v>40</v>
      </c>
      <c r="AF121" t="s">
        <v>41</v>
      </c>
      <c r="AI121">
        <f t="shared" si="2"/>
        <v>5.5</v>
      </c>
      <c r="AJ121">
        <f t="shared" si="3"/>
        <v>10.63014581273465</v>
      </c>
    </row>
    <row r="122" spans="1:36" x14ac:dyDescent="0.2">
      <c r="A122">
        <v>311180</v>
      </c>
      <c r="B122" t="s">
        <v>278</v>
      </c>
      <c r="C122">
        <v>5</v>
      </c>
      <c r="D122" s="1">
        <v>33970</v>
      </c>
      <c r="E122" s="1">
        <v>34243</v>
      </c>
      <c r="F122">
        <v>0.74790000000000001</v>
      </c>
      <c r="H122">
        <v>8</v>
      </c>
      <c r="I122">
        <v>15</v>
      </c>
      <c r="K122">
        <v>177</v>
      </c>
      <c r="L122">
        <v>1</v>
      </c>
      <c r="M122">
        <v>5.5</v>
      </c>
      <c r="N122">
        <v>5.5</v>
      </c>
      <c r="O122">
        <v>3.7397260270000001</v>
      </c>
      <c r="Q122">
        <v>1</v>
      </c>
      <c r="S122" t="s">
        <v>44</v>
      </c>
      <c r="T122" t="s">
        <v>87</v>
      </c>
      <c r="U122" t="s">
        <v>46</v>
      </c>
      <c r="V122" t="s">
        <v>35</v>
      </c>
      <c r="X122" t="s">
        <v>37</v>
      </c>
      <c r="Y122" t="s">
        <v>37</v>
      </c>
      <c r="Z122" t="s">
        <v>38</v>
      </c>
      <c r="AA122">
        <v>5</v>
      </c>
      <c r="AB122">
        <v>3.7397260270000001</v>
      </c>
      <c r="AC122">
        <v>5</v>
      </c>
      <c r="AD122" t="s">
        <v>283</v>
      </c>
      <c r="AE122" t="s">
        <v>40</v>
      </c>
      <c r="AF122" t="s">
        <v>41</v>
      </c>
      <c r="AI122">
        <f t="shared" si="2"/>
        <v>5.5</v>
      </c>
      <c r="AJ122">
        <f t="shared" si="3"/>
        <v>13.30413469565007</v>
      </c>
    </row>
    <row r="123" spans="1:36" x14ac:dyDescent="0.2">
      <c r="A123">
        <v>222052</v>
      </c>
      <c r="B123" t="s">
        <v>284</v>
      </c>
      <c r="C123">
        <v>0.9</v>
      </c>
      <c r="D123">
        <v>2007</v>
      </c>
      <c r="E123">
        <v>2010</v>
      </c>
      <c r="F123">
        <v>3</v>
      </c>
      <c r="I123">
        <v>22</v>
      </c>
      <c r="K123">
        <v>380</v>
      </c>
      <c r="L123">
        <v>1</v>
      </c>
      <c r="M123">
        <v>4.4000000000000004</v>
      </c>
      <c r="N123">
        <v>4.4000000000000004</v>
      </c>
      <c r="O123">
        <v>2.7</v>
      </c>
      <c r="Q123">
        <v>1</v>
      </c>
      <c r="S123" t="s">
        <v>67</v>
      </c>
      <c r="T123" t="s">
        <v>60</v>
      </c>
      <c r="U123" t="s">
        <v>68</v>
      </c>
      <c r="V123" t="s">
        <v>109</v>
      </c>
      <c r="X123" t="s">
        <v>50</v>
      </c>
      <c r="Y123" t="s">
        <v>51</v>
      </c>
      <c r="Z123" t="s">
        <v>48</v>
      </c>
      <c r="AA123">
        <v>-0.9</v>
      </c>
      <c r="AB123">
        <v>-2.7</v>
      </c>
      <c r="AC123">
        <v>0.9</v>
      </c>
      <c r="AD123" t="s">
        <v>285</v>
      </c>
      <c r="AE123" t="s">
        <v>40</v>
      </c>
      <c r="AF123" t="s">
        <v>41</v>
      </c>
      <c r="AI123">
        <f t="shared" si="2"/>
        <v>4.4000000000000004</v>
      </c>
      <c r="AJ123">
        <f t="shared" si="3"/>
        <v>19.493588689617926</v>
      </c>
    </row>
    <row r="124" spans="1:36" x14ac:dyDescent="0.2">
      <c r="A124">
        <v>999999</v>
      </c>
      <c r="B124" t="s">
        <v>286</v>
      </c>
      <c r="C124">
        <v>3</v>
      </c>
      <c r="D124">
        <v>2007</v>
      </c>
      <c r="E124">
        <v>2009</v>
      </c>
      <c r="F124">
        <v>2</v>
      </c>
      <c r="I124">
        <v>30</v>
      </c>
      <c r="K124">
        <v>707</v>
      </c>
      <c r="L124">
        <v>1</v>
      </c>
      <c r="M124">
        <v>16</v>
      </c>
      <c r="N124">
        <v>16</v>
      </c>
      <c r="O124">
        <v>6</v>
      </c>
      <c r="Q124">
        <v>1</v>
      </c>
      <c r="T124" t="s">
        <v>176</v>
      </c>
      <c r="U124" t="s">
        <v>176</v>
      </c>
      <c r="V124" t="s">
        <v>176</v>
      </c>
      <c r="W124" t="s">
        <v>36</v>
      </c>
      <c r="X124" t="s">
        <v>37</v>
      </c>
      <c r="Y124" t="s">
        <v>37</v>
      </c>
      <c r="AA124">
        <v>3</v>
      </c>
      <c r="AB124">
        <v>6</v>
      </c>
      <c r="AC124">
        <v>3</v>
      </c>
      <c r="AD124" t="s">
        <v>287</v>
      </c>
      <c r="AE124" t="s">
        <v>40</v>
      </c>
      <c r="AF124" t="s">
        <v>41</v>
      </c>
      <c r="AI124">
        <f t="shared" si="2"/>
        <v>16</v>
      </c>
      <c r="AJ124">
        <f t="shared" si="3"/>
        <v>26.589471600616662</v>
      </c>
    </row>
    <row r="125" spans="1:36" x14ac:dyDescent="0.2">
      <c r="A125">
        <v>341021</v>
      </c>
      <c r="B125" t="s">
        <v>288</v>
      </c>
      <c r="C125">
        <v>0.2</v>
      </c>
      <c r="D125">
        <v>1912</v>
      </c>
      <c r="E125">
        <v>2006</v>
      </c>
      <c r="F125">
        <v>94</v>
      </c>
      <c r="I125">
        <v>40</v>
      </c>
      <c r="K125">
        <v>1257</v>
      </c>
      <c r="L125">
        <v>1</v>
      </c>
      <c r="M125">
        <v>19</v>
      </c>
      <c r="N125">
        <v>19</v>
      </c>
      <c r="O125">
        <v>18.8</v>
      </c>
      <c r="Q125">
        <v>1</v>
      </c>
      <c r="S125" t="s">
        <v>81</v>
      </c>
      <c r="T125" t="s">
        <v>60</v>
      </c>
      <c r="U125" t="s">
        <v>61</v>
      </c>
      <c r="V125" t="s">
        <v>109</v>
      </c>
      <c r="X125" t="s">
        <v>48</v>
      </c>
      <c r="Z125" t="s">
        <v>48</v>
      </c>
      <c r="AA125">
        <v>0.2</v>
      </c>
      <c r="AB125">
        <v>18.8</v>
      </c>
      <c r="AC125">
        <v>0.2</v>
      </c>
      <c r="AD125" t="s">
        <v>289</v>
      </c>
      <c r="AE125" t="s">
        <v>40</v>
      </c>
      <c r="AF125" t="s">
        <v>41</v>
      </c>
      <c r="AI125">
        <f t="shared" si="2"/>
        <v>19</v>
      </c>
      <c r="AJ125">
        <f t="shared" si="3"/>
        <v>35.454195802471673</v>
      </c>
    </row>
    <row r="126" spans="1:36" x14ac:dyDescent="0.2">
      <c r="A126">
        <v>360050</v>
      </c>
      <c r="B126" t="s">
        <v>290</v>
      </c>
      <c r="C126">
        <v>10.42857143</v>
      </c>
      <c r="D126" s="2">
        <v>36345</v>
      </c>
      <c r="E126" s="2">
        <v>36450</v>
      </c>
      <c r="F126">
        <v>0.28767123300000003</v>
      </c>
      <c r="I126">
        <v>1</v>
      </c>
      <c r="K126">
        <v>1</v>
      </c>
      <c r="L126">
        <v>1</v>
      </c>
      <c r="M126">
        <v>0.2</v>
      </c>
      <c r="N126">
        <v>0.8</v>
      </c>
      <c r="O126">
        <v>3</v>
      </c>
      <c r="Q126">
        <v>2</v>
      </c>
      <c r="T126" t="s">
        <v>45</v>
      </c>
      <c r="U126" t="s">
        <v>187</v>
      </c>
      <c r="V126" t="s">
        <v>35</v>
      </c>
      <c r="W126" t="s">
        <v>36</v>
      </c>
      <c r="X126" t="s">
        <v>37</v>
      </c>
      <c r="Y126" t="s">
        <v>37</v>
      </c>
      <c r="Z126" t="s">
        <v>98</v>
      </c>
      <c r="AA126">
        <v>10.42857143</v>
      </c>
      <c r="AB126">
        <v>3</v>
      </c>
      <c r="AC126">
        <v>10.42857143</v>
      </c>
      <c r="AD126" t="s">
        <v>291</v>
      </c>
      <c r="AE126" t="s">
        <v>40</v>
      </c>
      <c r="AF126" t="s">
        <v>41</v>
      </c>
      <c r="AI126">
        <f t="shared" si="2"/>
        <v>0.5</v>
      </c>
      <c r="AJ126">
        <f t="shared" si="3"/>
        <v>1</v>
      </c>
    </row>
    <row r="127" spans="1:36" x14ac:dyDescent="0.2">
      <c r="A127">
        <v>360050</v>
      </c>
      <c r="B127" t="s">
        <v>290</v>
      </c>
      <c r="C127">
        <v>41.714285709999999</v>
      </c>
      <c r="D127" s="2">
        <v>36679</v>
      </c>
      <c r="E127" s="2">
        <v>36714</v>
      </c>
      <c r="F127">
        <v>9.5890410999999995E-2</v>
      </c>
      <c r="I127">
        <v>1</v>
      </c>
      <c r="K127">
        <v>1</v>
      </c>
      <c r="L127">
        <v>1</v>
      </c>
      <c r="M127">
        <v>0.2</v>
      </c>
      <c r="N127">
        <v>0.9</v>
      </c>
      <c r="O127">
        <v>4</v>
      </c>
      <c r="Q127">
        <v>2</v>
      </c>
      <c r="T127" t="s">
        <v>45</v>
      </c>
      <c r="U127" t="s">
        <v>187</v>
      </c>
      <c r="V127" t="s">
        <v>35</v>
      </c>
      <c r="W127" t="s">
        <v>36</v>
      </c>
      <c r="X127" t="s">
        <v>37</v>
      </c>
      <c r="Y127" t="s">
        <v>37</v>
      </c>
      <c r="Z127" t="s">
        <v>98</v>
      </c>
      <c r="AA127">
        <v>41.714285709999999</v>
      </c>
      <c r="AB127">
        <v>4</v>
      </c>
      <c r="AC127">
        <v>41.714285709999999</v>
      </c>
      <c r="AD127" t="s">
        <v>292</v>
      </c>
      <c r="AE127" t="s">
        <v>40</v>
      </c>
      <c r="AF127" t="s">
        <v>41</v>
      </c>
      <c r="AI127">
        <f t="shared" si="2"/>
        <v>0.55000000000000004</v>
      </c>
      <c r="AJ127">
        <f t="shared" si="3"/>
        <v>1</v>
      </c>
    </row>
    <row r="128" spans="1:36" x14ac:dyDescent="0.2">
      <c r="A128">
        <v>313040</v>
      </c>
      <c r="B128" t="s">
        <v>293</v>
      </c>
      <c r="C128">
        <v>5</v>
      </c>
      <c r="D128">
        <v>2004</v>
      </c>
      <c r="E128">
        <v>2005</v>
      </c>
      <c r="F128">
        <v>1</v>
      </c>
      <c r="H128">
        <v>20</v>
      </c>
      <c r="I128">
        <v>35</v>
      </c>
      <c r="K128">
        <v>962</v>
      </c>
      <c r="L128">
        <v>1</v>
      </c>
      <c r="M128">
        <v>10</v>
      </c>
      <c r="N128">
        <v>14</v>
      </c>
      <c r="O128">
        <v>5</v>
      </c>
      <c r="Q128">
        <v>1</v>
      </c>
      <c r="T128" t="s">
        <v>45</v>
      </c>
      <c r="U128" t="s">
        <v>34</v>
      </c>
      <c r="V128" t="s">
        <v>35</v>
      </c>
      <c r="W128" t="s">
        <v>36</v>
      </c>
      <c r="X128" t="s">
        <v>37</v>
      </c>
      <c r="Y128" t="s">
        <v>37</v>
      </c>
      <c r="Z128" t="s">
        <v>38</v>
      </c>
      <c r="AA128">
        <v>5</v>
      </c>
      <c r="AB128">
        <v>5</v>
      </c>
      <c r="AC128">
        <v>5</v>
      </c>
      <c r="AD128" t="s">
        <v>294</v>
      </c>
      <c r="AE128" t="s">
        <v>40</v>
      </c>
      <c r="AF128" t="s">
        <v>41</v>
      </c>
      <c r="AI128">
        <f t="shared" si="2"/>
        <v>12</v>
      </c>
      <c r="AJ128">
        <f t="shared" si="3"/>
        <v>31.016124838541646</v>
      </c>
    </row>
    <row r="129" spans="1:36" x14ac:dyDescent="0.2">
      <c r="A129">
        <v>321050</v>
      </c>
      <c r="B129" t="s">
        <v>295</v>
      </c>
      <c r="C129">
        <v>1.5</v>
      </c>
      <c r="D129">
        <v>1992</v>
      </c>
      <c r="E129">
        <v>2004</v>
      </c>
      <c r="F129">
        <v>12</v>
      </c>
      <c r="I129">
        <v>10</v>
      </c>
      <c r="K129">
        <v>79</v>
      </c>
      <c r="L129">
        <v>1</v>
      </c>
      <c r="M129">
        <v>12</v>
      </c>
      <c r="N129">
        <v>12</v>
      </c>
      <c r="O129">
        <v>18</v>
      </c>
      <c r="Q129">
        <v>2</v>
      </c>
      <c r="S129" t="s">
        <v>135</v>
      </c>
      <c r="T129" t="s">
        <v>45</v>
      </c>
      <c r="U129" t="s">
        <v>34</v>
      </c>
      <c r="V129" t="s">
        <v>232</v>
      </c>
      <c r="X129" t="s">
        <v>50</v>
      </c>
      <c r="Y129" t="s">
        <v>51</v>
      </c>
      <c r="Z129" t="s">
        <v>77</v>
      </c>
      <c r="AA129">
        <v>-1.5</v>
      </c>
      <c r="AB129">
        <v>-18</v>
      </c>
      <c r="AC129">
        <v>1.5</v>
      </c>
      <c r="AD129" t="s">
        <v>296</v>
      </c>
      <c r="AE129" t="s">
        <v>40</v>
      </c>
      <c r="AF129" t="s">
        <v>41</v>
      </c>
      <c r="AI129">
        <f t="shared" si="2"/>
        <v>12</v>
      </c>
      <c r="AJ129">
        <f t="shared" si="3"/>
        <v>8.8881944173155887</v>
      </c>
    </row>
    <row r="130" spans="1:36" x14ac:dyDescent="0.2">
      <c r="A130">
        <v>222110</v>
      </c>
      <c r="B130" t="s">
        <v>297</v>
      </c>
      <c r="C130">
        <v>1.5333333330000001</v>
      </c>
      <c r="D130">
        <v>1997</v>
      </c>
      <c r="E130">
        <v>2000</v>
      </c>
      <c r="F130">
        <v>3</v>
      </c>
      <c r="I130">
        <v>5</v>
      </c>
      <c r="K130">
        <v>20</v>
      </c>
      <c r="L130">
        <v>1</v>
      </c>
      <c r="M130">
        <v>2</v>
      </c>
      <c r="N130">
        <v>2</v>
      </c>
      <c r="O130">
        <v>4.5999999999999996</v>
      </c>
      <c r="Q130">
        <v>1</v>
      </c>
      <c r="T130" t="s">
        <v>60</v>
      </c>
      <c r="U130" t="s">
        <v>68</v>
      </c>
      <c r="V130" t="s">
        <v>298</v>
      </c>
      <c r="W130" t="s">
        <v>36</v>
      </c>
      <c r="X130" t="s">
        <v>50</v>
      </c>
      <c r="Y130" t="s">
        <v>51</v>
      </c>
      <c r="Z130" t="s">
        <v>71</v>
      </c>
      <c r="AA130">
        <v>-1.53</v>
      </c>
      <c r="AB130">
        <v>-4.5999999999999996</v>
      </c>
      <c r="AC130">
        <v>1.5333333330000001</v>
      </c>
      <c r="AD130" t="s">
        <v>299</v>
      </c>
      <c r="AE130" t="s">
        <v>40</v>
      </c>
      <c r="AF130" t="s">
        <v>41</v>
      </c>
      <c r="AI130">
        <f t="shared" si="2"/>
        <v>2</v>
      </c>
      <c r="AJ130">
        <f t="shared" si="3"/>
        <v>4.4721359549995796</v>
      </c>
    </row>
    <row r="131" spans="1:36" x14ac:dyDescent="0.2">
      <c r="A131">
        <v>311080</v>
      </c>
      <c r="B131" t="s">
        <v>300</v>
      </c>
      <c r="C131">
        <v>58.870967739999998</v>
      </c>
      <c r="D131" s="1">
        <v>38626</v>
      </c>
      <c r="E131" s="1">
        <v>38657</v>
      </c>
      <c r="F131">
        <v>8.4931507000000003E-2</v>
      </c>
      <c r="H131">
        <v>6</v>
      </c>
      <c r="I131">
        <v>16</v>
      </c>
      <c r="K131">
        <v>201</v>
      </c>
      <c r="L131">
        <v>1.2</v>
      </c>
      <c r="M131">
        <v>5</v>
      </c>
      <c r="N131">
        <v>8</v>
      </c>
      <c r="O131">
        <v>5</v>
      </c>
      <c r="Q131">
        <v>1</v>
      </c>
      <c r="T131" t="s">
        <v>87</v>
      </c>
      <c r="U131" t="s">
        <v>46</v>
      </c>
      <c r="V131" t="s">
        <v>47</v>
      </c>
      <c r="W131" t="s">
        <v>36</v>
      </c>
      <c r="X131" t="s">
        <v>37</v>
      </c>
      <c r="Y131" t="s">
        <v>37</v>
      </c>
      <c r="Z131" t="s">
        <v>38</v>
      </c>
      <c r="AA131">
        <v>58.870967739999998</v>
      </c>
      <c r="AB131">
        <v>5</v>
      </c>
      <c r="AC131">
        <v>58.870967739999998</v>
      </c>
      <c r="AD131" t="s">
        <v>301</v>
      </c>
      <c r="AE131" t="s">
        <v>40</v>
      </c>
      <c r="AF131" t="s">
        <v>41</v>
      </c>
      <c r="AI131">
        <f t="shared" ref="AI131:AI144" si="4">AVERAGE(M131,N131)</f>
        <v>6.5</v>
      </c>
      <c r="AJ131">
        <f t="shared" ref="AJ131:AJ144" si="5">SQRT(K131)</f>
        <v>14.177446878757825</v>
      </c>
    </row>
    <row r="132" spans="1:36" x14ac:dyDescent="0.2">
      <c r="A132">
        <v>213030</v>
      </c>
      <c r="B132" t="s">
        <v>302</v>
      </c>
      <c r="C132">
        <v>1</v>
      </c>
      <c r="D132">
        <v>2003</v>
      </c>
      <c r="E132">
        <v>2010</v>
      </c>
      <c r="F132">
        <v>7</v>
      </c>
      <c r="I132">
        <v>12</v>
      </c>
      <c r="K132">
        <v>113</v>
      </c>
      <c r="L132">
        <v>1</v>
      </c>
      <c r="M132">
        <v>4.5</v>
      </c>
      <c r="N132">
        <v>4.5</v>
      </c>
      <c r="O132">
        <v>7</v>
      </c>
      <c r="Q132">
        <v>1</v>
      </c>
      <c r="S132" t="s">
        <v>67</v>
      </c>
      <c r="T132" t="s">
        <v>60</v>
      </c>
      <c r="U132" t="s">
        <v>117</v>
      </c>
      <c r="V132" t="s">
        <v>47</v>
      </c>
      <c r="X132" t="s">
        <v>50</v>
      </c>
      <c r="Y132" t="s">
        <v>51</v>
      </c>
      <c r="Z132" t="s">
        <v>250</v>
      </c>
      <c r="AA132">
        <v>-1</v>
      </c>
      <c r="AB132">
        <v>-7</v>
      </c>
      <c r="AC132">
        <v>1</v>
      </c>
      <c r="AD132" t="s">
        <v>303</v>
      </c>
      <c r="AE132" t="s">
        <v>40</v>
      </c>
      <c r="AF132" t="s">
        <v>41</v>
      </c>
      <c r="AI132">
        <f t="shared" si="4"/>
        <v>4.5</v>
      </c>
      <c r="AJ132">
        <f t="shared" si="5"/>
        <v>10.63014581273465</v>
      </c>
    </row>
    <row r="133" spans="1:36" x14ac:dyDescent="0.2">
      <c r="A133">
        <v>322070</v>
      </c>
      <c r="B133" t="s">
        <v>304</v>
      </c>
      <c r="C133">
        <v>1.7857142859999999</v>
      </c>
      <c r="D133">
        <v>1996</v>
      </c>
      <c r="E133">
        <v>2010</v>
      </c>
      <c r="F133">
        <v>14</v>
      </c>
      <c r="H133">
        <v>5</v>
      </c>
      <c r="I133">
        <v>20</v>
      </c>
      <c r="J133">
        <v>10</v>
      </c>
      <c r="K133">
        <v>157</v>
      </c>
      <c r="L133">
        <v>2</v>
      </c>
      <c r="M133">
        <v>6</v>
      </c>
      <c r="N133">
        <v>6</v>
      </c>
      <c r="O133">
        <v>25</v>
      </c>
      <c r="Q133">
        <v>1</v>
      </c>
      <c r="T133" t="s">
        <v>82</v>
      </c>
      <c r="U133" t="s">
        <v>34</v>
      </c>
      <c r="V133" t="s">
        <v>35</v>
      </c>
      <c r="W133" t="s">
        <v>36</v>
      </c>
      <c r="X133" t="s">
        <v>37</v>
      </c>
      <c r="Y133" t="s">
        <v>37</v>
      </c>
      <c r="Z133" t="s">
        <v>38</v>
      </c>
      <c r="AA133">
        <v>1.7857142859999999</v>
      </c>
      <c r="AB133">
        <v>25</v>
      </c>
      <c r="AC133">
        <v>1.7857142859999999</v>
      </c>
      <c r="AD133" t="s">
        <v>305</v>
      </c>
      <c r="AE133" t="s">
        <v>40</v>
      </c>
      <c r="AF133" t="s">
        <v>41</v>
      </c>
      <c r="AI133">
        <f t="shared" si="4"/>
        <v>6</v>
      </c>
      <c r="AJ133">
        <f t="shared" si="5"/>
        <v>12.529964086141668</v>
      </c>
    </row>
    <row r="134" spans="1:36" x14ac:dyDescent="0.2">
      <c r="A134">
        <v>241080</v>
      </c>
      <c r="B134" t="s">
        <v>306</v>
      </c>
      <c r="C134">
        <v>2</v>
      </c>
      <c r="D134" s="2">
        <v>41234</v>
      </c>
      <c r="E134" s="2">
        <v>42156</v>
      </c>
      <c r="F134">
        <v>2.5259999999999998</v>
      </c>
      <c r="K134">
        <v>4</v>
      </c>
      <c r="L134">
        <v>1</v>
      </c>
      <c r="M134">
        <v>0.5</v>
      </c>
      <c r="N134">
        <v>0.5</v>
      </c>
      <c r="O134">
        <v>5.0520547950000001</v>
      </c>
      <c r="Q134">
        <v>2</v>
      </c>
      <c r="S134" t="s">
        <v>254</v>
      </c>
      <c r="T134" t="s">
        <v>87</v>
      </c>
      <c r="U134" t="s">
        <v>34</v>
      </c>
      <c r="V134" t="s">
        <v>35</v>
      </c>
      <c r="X134" t="s">
        <v>50</v>
      </c>
      <c r="Y134" t="s">
        <v>51</v>
      </c>
      <c r="Z134" t="s">
        <v>307</v>
      </c>
      <c r="AA134">
        <v>-2</v>
      </c>
      <c r="AB134">
        <v>-5.0520547950000001</v>
      </c>
      <c r="AC134">
        <v>2</v>
      </c>
      <c r="AD134" t="s">
        <v>308</v>
      </c>
      <c r="AE134" t="s">
        <v>40</v>
      </c>
      <c r="AF134" t="s">
        <v>41</v>
      </c>
      <c r="AI134">
        <f t="shared" si="4"/>
        <v>0.5</v>
      </c>
      <c r="AJ134">
        <f t="shared" si="5"/>
        <v>2</v>
      </c>
    </row>
    <row r="135" spans="1:36" x14ac:dyDescent="0.2">
      <c r="A135">
        <v>372050</v>
      </c>
      <c r="B135" t="s">
        <v>309</v>
      </c>
      <c r="C135">
        <v>0.7</v>
      </c>
      <c r="D135">
        <v>1993</v>
      </c>
      <c r="E135">
        <v>2000</v>
      </c>
      <c r="F135">
        <v>7</v>
      </c>
      <c r="I135">
        <v>20</v>
      </c>
      <c r="K135">
        <v>314</v>
      </c>
      <c r="L135">
        <v>1</v>
      </c>
      <c r="M135">
        <v>8</v>
      </c>
      <c r="N135">
        <v>8</v>
      </c>
      <c r="O135">
        <v>4.9000000000000004</v>
      </c>
      <c r="Q135">
        <v>1</v>
      </c>
      <c r="S135" t="s">
        <v>84</v>
      </c>
      <c r="T135" t="s">
        <v>45</v>
      </c>
      <c r="U135" t="s">
        <v>61</v>
      </c>
      <c r="V135" t="s">
        <v>69</v>
      </c>
      <c r="X135" t="s">
        <v>50</v>
      </c>
      <c r="Y135" t="s">
        <v>51</v>
      </c>
      <c r="Z135" t="s">
        <v>48</v>
      </c>
      <c r="AA135">
        <v>-0.7</v>
      </c>
      <c r="AB135">
        <v>-4.9000000000000004</v>
      </c>
      <c r="AC135">
        <v>0.7</v>
      </c>
      <c r="AD135" t="s">
        <v>310</v>
      </c>
      <c r="AE135" t="s">
        <v>40</v>
      </c>
      <c r="AF135" t="s">
        <v>41</v>
      </c>
      <c r="AI135">
        <f t="shared" si="4"/>
        <v>8</v>
      </c>
      <c r="AJ135">
        <f t="shared" si="5"/>
        <v>17.720045146669349</v>
      </c>
    </row>
    <row r="136" spans="1:36" x14ac:dyDescent="0.2">
      <c r="A136">
        <v>372050</v>
      </c>
      <c r="B136" t="s">
        <v>309</v>
      </c>
      <c r="C136">
        <v>1.2</v>
      </c>
      <c r="D136">
        <v>2003</v>
      </c>
      <c r="E136">
        <v>2007</v>
      </c>
      <c r="F136">
        <v>4</v>
      </c>
      <c r="I136">
        <v>20</v>
      </c>
      <c r="K136">
        <v>314</v>
      </c>
      <c r="L136">
        <v>1</v>
      </c>
      <c r="M136">
        <v>8</v>
      </c>
      <c r="N136">
        <v>8</v>
      </c>
      <c r="O136">
        <v>4.8</v>
      </c>
      <c r="Q136">
        <v>1</v>
      </c>
      <c r="S136" t="s">
        <v>84</v>
      </c>
      <c r="T136" t="s">
        <v>45</v>
      </c>
      <c r="U136" t="s">
        <v>61</v>
      </c>
      <c r="V136" t="s">
        <v>69</v>
      </c>
      <c r="X136" t="s">
        <v>50</v>
      </c>
      <c r="Y136" t="s">
        <v>51</v>
      </c>
      <c r="Z136" t="s">
        <v>48</v>
      </c>
      <c r="AA136">
        <v>-1.2</v>
      </c>
      <c r="AB136">
        <v>-4.8</v>
      </c>
      <c r="AC136">
        <v>1.2</v>
      </c>
      <c r="AD136" t="s">
        <v>311</v>
      </c>
      <c r="AE136" t="s">
        <v>40</v>
      </c>
      <c r="AF136" t="s">
        <v>41</v>
      </c>
      <c r="AI136">
        <f t="shared" si="4"/>
        <v>8</v>
      </c>
      <c r="AJ136">
        <f t="shared" si="5"/>
        <v>17.720045146669349</v>
      </c>
    </row>
    <row r="137" spans="1:36" x14ac:dyDescent="0.2">
      <c r="A137">
        <v>352080</v>
      </c>
      <c r="B137" t="s">
        <v>312</v>
      </c>
      <c r="C137">
        <v>0.8</v>
      </c>
      <c r="D137">
        <v>2003</v>
      </c>
      <c r="E137">
        <v>2009</v>
      </c>
      <c r="F137">
        <v>6</v>
      </c>
      <c r="I137">
        <v>25</v>
      </c>
      <c r="K137">
        <v>491</v>
      </c>
      <c r="L137">
        <v>1</v>
      </c>
      <c r="M137">
        <v>11.5</v>
      </c>
      <c r="N137">
        <v>11.5</v>
      </c>
      <c r="O137">
        <v>4.8</v>
      </c>
      <c r="Q137">
        <v>2</v>
      </c>
      <c r="S137" t="s">
        <v>59</v>
      </c>
      <c r="T137" t="s">
        <v>45</v>
      </c>
      <c r="U137" t="s">
        <v>34</v>
      </c>
      <c r="V137" t="s">
        <v>35</v>
      </c>
      <c r="X137" t="s">
        <v>37</v>
      </c>
      <c r="Y137" t="s">
        <v>37</v>
      </c>
      <c r="Z137" t="s">
        <v>48</v>
      </c>
      <c r="AA137">
        <v>0.8</v>
      </c>
      <c r="AB137">
        <v>4.8</v>
      </c>
      <c r="AC137">
        <v>0.8</v>
      </c>
      <c r="AD137" t="s">
        <v>313</v>
      </c>
      <c r="AE137" t="s">
        <v>40</v>
      </c>
      <c r="AF137" t="s">
        <v>41</v>
      </c>
      <c r="AI137">
        <f t="shared" si="4"/>
        <v>11.5</v>
      </c>
      <c r="AJ137">
        <f t="shared" si="5"/>
        <v>22.158519806160339</v>
      </c>
    </row>
    <row r="138" spans="1:36" x14ac:dyDescent="0.2">
      <c r="A138">
        <v>352080</v>
      </c>
      <c r="B138" t="s">
        <v>312</v>
      </c>
      <c r="C138">
        <v>70.192307690000007</v>
      </c>
      <c r="D138" s="2">
        <v>39443</v>
      </c>
      <c r="E138" s="2">
        <v>39534</v>
      </c>
      <c r="F138">
        <v>0.249315068</v>
      </c>
      <c r="I138">
        <v>4</v>
      </c>
      <c r="J138">
        <v>1.5</v>
      </c>
      <c r="K138">
        <v>5</v>
      </c>
      <c r="L138">
        <v>2.6666666669999999</v>
      </c>
      <c r="M138">
        <v>2</v>
      </c>
      <c r="N138">
        <v>2</v>
      </c>
      <c r="O138">
        <v>17.5</v>
      </c>
      <c r="Q138">
        <v>2</v>
      </c>
      <c r="T138" t="s">
        <v>45</v>
      </c>
      <c r="U138" t="s">
        <v>34</v>
      </c>
      <c r="V138" t="s">
        <v>35</v>
      </c>
      <c r="W138" t="s">
        <v>36</v>
      </c>
      <c r="X138" t="s">
        <v>37</v>
      </c>
      <c r="Y138" t="s">
        <v>37</v>
      </c>
      <c r="Z138" t="s">
        <v>98</v>
      </c>
      <c r="AA138">
        <v>70.192307690000007</v>
      </c>
      <c r="AB138">
        <v>17.5</v>
      </c>
      <c r="AC138">
        <v>70.192307690000007</v>
      </c>
      <c r="AD138" t="s">
        <v>314</v>
      </c>
      <c r="AE138" t="s">
        <v>40</v>
      </c>
      <c r="AF138" t="s">
        <v>41</v>
      </c>
      <c r="AI138">
        <f t="shared" si="4"/>
        <v>2</v>
      </c>
      <c r="AJ138">
        <f t="shared" si="5"/>
        <v>2.2360679774997898</v>
      </c>
    </row>
    <row r="139" spans="1:36" x14ac:dyDescent="0.2">
      <c r="A139">
        <v>312130</v>
      </c>
      <c r="B139" t="s">
        <v>315</v>
      </c>
      <c r="C139">
        <v>10</v>
      </c>
      <c r="D139">
        <v>1996</v>
      </c>
      <c r="E139">
        <v>1998</v>
      </c>
      <c r="F139">
        <v>2</v>
      </c>
      <c r="I139">
        <v>30</v>
      </c>
      <c r="K139">
        <v>707</v>
      </c>
      <c r="L139">
        <v>1</v>
      </c>
      <c r="M139">
        <v>7</v>
      </c>
      <c r="N139">
        <v>7</v>
      </c>
      <c r="O139">
        <v>20</v>
      </c>
      <c r="Q139">
        <v>1</v>
      </c>
      <c r="T139" t="s">
        <v>45</v>
      </c>
      <c r="U139" t="s">
        <v>34</v>
      </c>
      <c r="V139" t="s">
        <v>35</v>
      </c>
      <c r="W139" t="s">
        <v>36</v>
      </c>
      <c r="X139" t="s">
        <v>37</v>
      </c>
      <c r="Y139" t="s">
        <v>37</v>
      </c>
      <c r="Z139" t="s">
        <v>38</v>
      </c>
      <c r="AA139">
        <v>10</v>
      </c>
      <c r="AB139">
        <v>20</v>
      </c>
      <c r="AC139">
        <v>10</v>
      </c>
      <c r="AD139" t="s">
        <v>316</v>
      </c>
      <c r="AE139" t="s">
        <v>40</v>
      </c>
      <c r="AF139" t="s">
        <v>41</v>
      </c>
      <c r="AI139">
        <f t="shared" si="4"/>
        <v>7</v>
      </c>
      <c r="AJ139">
        <f t="shared" si="5"/>
        <v>26.589471600616662</v>
      </c>
    </row>
    <row r="140" spans="1:36" x14ac:dyDescent="0.2">
      <c r="A140">
        <v>355838</v>
      </c>
      <c r="B140" t="s">
        <v>317</v>
      </c>
      <c r="C140">
        <v>1</v>
      </c>
      <c r="D140">
        <v>1992</v>
      </c>
      <c r="E140">
        <v>2011</v>
      </c>
      <c r="F140">
        <v>19</v>
      </c>
      <c r="I140">
        <v>70</v>
      </c>
      <c r="K140">
        <v>3848</v>
      </c>
      <c r="L140">
        <v>1</v>
      </c>
      <c r="M140">
        <v>15</v>
      </c>
      <c r="N140">
        <v>17</v>
      </c>
      <c r="O140">
        <v>19</v>
      </c>
      <c r="Q140">
        <v>1</v>
      </c>
      <c r="S140" t="s">
        <v>59</v>
      </c>
      <c r="T140" t="s">
        <v>45</v>
      </c>
      <c r="U140" t="s">
        <v>34</v>
      </c>
      <c r="V140" t="s">
        <v>176</v>
      </c>
      <c r="X140" t="s">
        <v>37</v>
      </c>
      <c r="Y140" t="s">
        <v>37</v>
      </c>
      <c r="Z140" t="s">
        <v>38</v>
      </c>
      <c r="AA140">
        <v>1</v>
      </c>
      <c r="AB140">
        <v>19</v>
      </c>
      <c r="AC140">
        <v>1</v>
      </c>
      <c r="AD140" t="s">
        <v>318</v>
      </c>
      <c r="AE140" t="s">
        <v>40</v>
      </c>
      <c r="AF140" t="s">
        <v>41</v>
      </c>
      <c r="AI140">
        <f t="shared" si="4"/>
        <v>16</v>
      </c>
      <c r="AJ140">
        <f t="shared" si="5"/>
        <v>62.032249677083293</v>
      </c>
    </row>
    <row r="141" spans="1:36" x14ac:dyDescent="0.2">
      <c r="A141">
        <v>300170</v>
      </c>
      <c r="B141" t="s">
        <v>319</v>
      </c>
      <c r="C141">
        <v>5.0694444440000002</v>
      </c>
      <c r="D141" s="2">
        <v>36771</v>
      </c>
      <c r="E141" s="2">
        <v>37851</v>
      </c>
      <c r="F141">
        <v>2.9589041100000002</v>
      </c>
      <c r="I141">
        <v>15</v>
      </c>
      <c r="K141">
        <v>177</v>
      </c>
      <c r="L141">
        <v>1</v>
      </c>
      <c r="M141">
        <v>4</v>
      </c>
      <c r="N141">
        <v>8</v>
      </c>
      <c r="O141">
        <v>15</v>
      </c>
      <c r="Q141">
        <v>1</v>
      </c>
      <c r="T141" t="s">
        <v>320</v>
      </c>
      <c r="U141" t="s">
        <v>34</v>
      </c>
      <c r="V141" t="s">
        <v>35</v>
      </c>
      <c r="W141" t="s">
        <v>36</v>
      </c>
      <c r="X141" t="s">
        <v>37</v>
      </c>
      <c r="Y141" t="s">
        <v>37</v>
      </c>
      <c r="AA141">
        <v>5.0694444440000002</v>
      </c>
      <c r="AB141">
        <v>15</v>
      </c>
      <c r="AC141">
        <v>5.0694444440000002</v>
      </c>
      <c r="AD141" t="s">
        <v>321</v>
      </c>
      <c r="AE141" t="s">
        <v>40</v>
      </c>
      <c r="AF141" t="s">
        <v>41</v>
      </c>
      <c r="AI141">
        <f t="shared" si="4"/>
        <v>6</v>
      </c>
      <c r="AJ141">
        <f t="shared" si="5"/>
        <v>13.30413469565007</v>
      </c>
    </row>
    <row r="142" spans="1:36" x14ac:dyDescent="0.2">
      <c r="A142">
        <v>312070</v>
      </c>
      <c r="B142" t="s">
        <v>322</v>
      </c>
      <c r="C142">
        <v>0.5</v>
      </c>
      <c r="D142">
        <v>1992</v>
      </c>
      <c r="E142">
        <v>2010</v>
      </c>
      <c r="F142">
        <v>18</v>
      </c>
      <c r="I142">
        <v>35</v>
      </c>
      <c r="K142">
        <v>962</v>
      </c>
      <c r="L142">
        <v>1</v>
      </c>
      <c r="M142">
        <v>8</v>
      </c>
      <c r="N142">
        <v>8</v>
      </c>
      <c r="O142">
        <v>9</v>
      </c>
      <c r="Q142">
        <v>1</v>
      </c>
      <c r="S142" t="s">
        <v>44</v>
      </c>
      <c r="T142" t="s">
        <v>45</v>
      </c>
      <c r="U142" t="s">
        <v>34</v>
      </c>
      <c r="V142" t="s">
        <v>35</v>
      </c>
      <c r="X142" t="s">
        <v>37</v>
      </c>
      <c r="Y142" t="s">
        <v>37</v>
      </c>
      <c r="Z142" t="s">
        <v>38</v>
      </c>
      <c r="AA142">
        <v>0.5</v>
      </c>
      <c r="AB142">
        <v>9</v>
      </c>
      <c r="AC142">
        <v>0.5</v>
      </c>
      <c r="AD142" t="s">
        <v>323</v>
      </c>
      <c r="AE142" t="s">
        <v>40</v>
      </c>
      <c r="AF142" t="s">
        <v>41</v>
      </c>
      <c r="AI142">
        <f t="shared" si="4"/>
        <v>8</v>
      </c>
      <c r="AJ142">
        <f t="shared" si="5"/>
        <v>31.016124838541646</v>
      </c>
    </row>
    <row r="143" spans="1:36" x14ac:dyDescent="0.2">
      <c r="A143">
        <v>311340</v>
      </c>
      <c r="B143" t="s">
        <v>324</v>
      </c>
      <c r="C143">
        <v>243.33333329999999</v>
      </c>
      <c r="D143" s="2">
        <v>33563</v>
      </c>
      <c r="E143" s="2">
        <v>33572</v>
      </c>
      <c r="F143">
        <v>2.4657533999999998E-2</v>
      </c>
      <c r="I143">
        <v>24</v>
      </c>
      <c r="K143">
        <v>452</v>
      </c>
      <c r="L143">
        <v>1</v>
      </c>
      <c r="M143">
        <v>4</v>
      </c>
      <c r="N143">
        <v>8</v>
      </c>
      <c r="O143">
        <v>6</v>
      </c>
      <c r="Q143">
        <v>2</v>
      </c>
      <c r="T143" t="s">
        <v>45</v>
      </c>
      <c r="U143" t="s">
        <v>34</v>
      </c>
      <c r="V143" t="s">
        <v>47</v>
      </c>
      <c r="W143" t="s">
        <v>36</v>
      </c>
      <c r="X143" t="s">
        <v>50</v>
      </c>
      <c r="Y143" t="s">
        <v>51</v>
      </c>
      <c r="Z143" t="s">
        <v>98</v>
      </c>
      <c r="AA143">
        <v>-243.33</v>
      </c>
      <c r="AB143">
        <v>-6</v>
      </c>
      <c r="AC143">
        <v>243.33333329999999</v>
      </c>
      <c r="AD143" t="s">
        <v>325</v>
      </c>
      <c r="AE143" t="s">
        <v>40</v>
      </c>
      <c r="AF143" t="s">
        <v>41</v>
      </c>
      <c r="AI143">
        <f t="shared" si="4"/>
        <v>6</v>
      </c>
      <c r="AJ143">
        <f t="shared" si="5"/>
        <v>21.2602916254693</v>
      </c>
    </row>
    <row r="144" spans="1:36" x14ac:dyDescent="0.2">
      <c r="A144">
        <v>353020</v>
      </c>
      <c r="B144" t="s">
        <v>326</v>
      </c>
      <c r="C144">
        <v>1.6</v>
      </c>
      <c r="D144">
        <v>1992</v>
      </c>
      <c r="E144">
        <v>1997</v>
      </c>
      <c r="F144">
        <v>5</v>
      </c>
      <c r="I144">
        <v>8</v>
      </c>
      <c r="K144">
        <v>50</v>
      </c>
      <c r="L144">
        <v>1</v>
      </c>
      <c r="M144">
        <v>2</v>
      </c>
      <c r="N144">
        <v>3</v>
      </c>
      <c r="O144">
        <v>8</v>
      </c>
      <c r="Q144">
        <v>1</v>
      </c>
      <c r="T144" t="s">
        <v>60</v>
      </c>
      <c r="U144" t="s">
        <v>61</v>
      </c>
      <c r="V144" t="s">
        <v>47</v>
      </c>
      <c r="W144" t="s">
        <v>36</v>
      </c>
      <c r="X144" t="s">
        <v>37</v>
      </c>
      <c r="Y144" t="s">
        <v>37</v>
      </c>
      <c r="Z144" t="s">
        <v>38</v>
      </c>
      <c r="AA144">
        <v>1.6</v>
      </c>
      <c r="AB144">
        <v>8</v>
      </c>
      <c r="AC144">
        <v>1.6</v>
      </c>
      <c r="AD144" t="s">
        <v>327</v>
      </c>
      <c r="AE144" t="s">
        <v>40</v>
      </c>
      <c r="AF144" t="s">
        <v>41</v>
      </c>
      <c r="AI144">
        <f t="shared" si="4"/>
        <v>2.5</v>
      </c>
      <c r="AJ144">
        <f t="shared" si="5"/>
        <v>7.0710678118654755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1DD6-53B1-A646-8D8E-6099CB0518AB}">
  <sheetPr codeName="Sheet9"/>
  <dimension ref="A1:AH138"/>
  <sheetViews>
    <sheetView topLeftCell="A40" workbookViewId="0">
      <selection activeCell="N1" sqref="N1"/>
    </sheetView>
  </sheetViews>
  <sheetFormatPr baseColWidth="10" defaultRowHeight="16" x14ac:dyDescent="0.2"/>
  <sheetData>
    <row r="1" spans="1:34" ht="51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7" t="s">
        <v>466</v>
      </c>
      <c r="AH1" s="4" t="s">
        <v>328</v>
      </c>
    </row>
    <row r="2" spans="1:34" x14ac:dyDescent="0.2">
      <c r="A2">
        <v>282080</v>
      </c>
      <c r="B2" t="s">
        <v>32</v>
      </c>
      <c r="C2">
        <v>0.66666666666666663</v>
      </c>
      <c r="D2" t="s">
        <v>351</v>
      </c>
      <c r="E2" t="s">
        <v>352</v>
      </c>
      <c r="F2">
        <v>3</v>
      </c>
      <c r="I2">
        <v>30</v>
      </c>
      <c r="K2">
        <v>706.85834705770344</v>
      </c>
      <c r="L2">
        <v>1</v>
      </c>
      <c r="M2">
        <v>5</v>
      </c>
      <c r="N2">
        <v>9</v>
      </c>
      <c r="O2">
        <v>2</v>
      </c>
      <c r="Q2">
        <v>1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37</v>
      </c>
      <c r="Z2" t="s">
        <v>38</v>
      </c>
      <c r="AA2">
        <v>0.66666666666666663</v>
      </c>
      <c r="AB2">
        <v>2</v>
      </c>
      <c r="AC2">
        <v>0.66666666666666663</v>
      </c>
      <c r="AD2" t="s">
        <v>42</v>
      </c>
      <c r="AE2" t="s">
        <v>40</v>
      </c>
      <c r="AF2" t="s">
        <v>41</v>
      </c>
      <c r="AG2">
        <v>1</v>
      </c>
      <c r="AH2" t="s">
        <v>329</v>
      </c>
    </row>
    <row r="3" spans="1:34" x14ac:dyDescent="0.2">
      <c r="A3">
        <v>282080</v>
      </c>
      <c r="B3" t="s">
        <v>32</v>
      </c>
      <c r="C3">
        <v>0.31574394463667821</v>
      </c>
      <c r="D3" t="s">
        <v>353</v>
      </c>
      <c r="E3" t="s">
        <v>354</v>
      </c>
      <c r="F3">
        <v>4.7506849315068491</v>
      </c>
      <c r="I3">
        <v>30</v>
      </c>
      <c r="K3">
        <v>706.85834705770344</v>
      </c>
      <c r="L3">
        <v>1</v>
      </c>
      <c r="M3">
        <v>5</v>
      </c>
      <c r="N3">
        <v>9</v>
      </c>
      <c r="O3">
        <v>1.5</v>
      </c>
      <c r="Q3">
        <v>1</v>
      </c>
      <c r="T3" t="s">
        <v>33</v>
      </c>
      <c r="U3" t="s">
        <v>34</v>
      </c>
      <c r="V3" t="s">
        <v>35</v>
      </c>
      <c r="W3" t="s">
        <v>36</v>
      </c>
      <c r="X3" t="s">
        <v>37</v>
      </c>
      <c r="Y3" t="s">
        <v>37</v>
      </c>
      <c r="Z3" t="s">
        <v>38</v>
      </c>
      <c r="AA3">
        <v>0.31574394463667821</v>
      </c>
      <c r="AB3">
        <v>1.5</v>
      </c>
      <c r="AC3">
        <v>0.31574394463667821</v>
      </c>
      <c r="AD3" t="s">
        <v>39</v>
      </c>
      <c r="AE3" t="s">
        <v>40</v>
      </c>
      <c r="AF3" t="s">
        <v>41</v>
      </c>
      <c r="AG3">
        <v>1</v>
      </c>
      <c r="AH3" t="s">
        <v>329</v>
      </c>
    </row>
    <row r="4" spans="1:34" x14ac:dyDescent="0.2">
      <c r="A4">
        <v>311320</v>
      </c>
      <c r="B4" t="s">
        <v>43</v>
      </c>
      <c r="C4">
        <v>1</v>
      </c>
      <c r="D4" t="s">
        <v>355</v>
      </c>
      <c r="E4" t="s">
        <v>356</v>
      </c>
      <c r="F4">
        <v>17</v>
      </c>
      <c r="I4">
        <v>8</v>
      </c>
      <c r="J4">
        <v>5</v>
      </c>
      <c r="K4">
        <v>31</v>
      </c>
      <c r="L4">
        <v>1.6</v>
      </c>
      <c r="M4">
        <v>5</v>
      </c>
      <c r="N4">
        <v>7</v>
      </c>
      <c r="O4">
        <v>17</v>
      </c>
      <c r="Q4">
        <v>1</v>
      </c>
      <c r="S4" t="s">
        <v>44</v>
      </c>
      <c r="T4" t="s">
        <v>45</v>
      </c>
      <c r="U4" t="s">
        <v>46</v>
      </c>
      <c r="V4" t="s">
        <v>47</v>
      </c>
      <c r="X4" t="s">
        <v>37</v>
      </c>
      <c r="Y4" t="s">
        <v>37</v>
      </c>
      <c r="Z4" t="s">
        <v>48</v>
      </c>
      <c r="AA4">
        <v>1</v>
      </c>
      <c r="AB4">
        <v>17</v>
      </c>
      <c r="AC4">
        <v>1</v>
      </c>
      <c r="AD4" t="s">
        <v>49</v>
      </c>
      <c r="AE4" t="s">
        <v>40</v>
      </c>
      <c r="AF4" t="s">
        <v>41</v>
      </c>
      <c r="AG4">
        <v>1</v>
      </c>
      <c r="AH4" t="s">
        <v>329</v>
      </c>
    </row>
    <row r="5" spans="1:34" x14ac:dyDescent="0.2">
      <c r="A5">
        <v>211004</v>
      </c>
      <c r="B5" t="s">
        <v>55</v>
      </c>
      <c r="C5">
        <v>3.7142857142857144E-2</v>
      </c>
      <c r="D5" t="s">
        <v>357</v>
      </c>
      <c r="E5" t="s">
        <v>358</v>
      </c>
      <c r="F5">
        <v>7</v>
      </c>
      <c r="I5">
        <v>40</v>
      </c>
      <c r="K5">
        <v>1257</v>
      </c>
      <c r="L5">
        <v>1</v>
      </c>
      <c r="M5">
        <v>4.5999999999999996</v>
      </c>
      <c r="N5">
        <v>4.5999999999999996</v>
      </c>
      <c r="O5">
        <v>0.26</v>
      </c>
      <c r="Q5">
        <v>1</v>
      </c>
      <c r="T5" t="s">
        <v>33</v>
      </c>
      <c r="U5" t="s">
        <v>34</v>
      </c>
      <c r="V5" t="s">
        <v>56</v>
      </c>
      <c r="W5" t="s">
        <v>36</v>
      </c>
      <c r="X5" t="s">
        <v>37</v>
      </c>
      <c r="Y5" t="s">
        <v>37</v>
      </c>
      <c r="AA5">
        <v>3.7142857142857144E-2</v>
      </c>
      <c r="AB5">
        <v>0.26</v>
      </c>
      <c r="AC5">
        <v>3.7142857142857144E-2</v>
      </c>
      <c r="AD5" t="s">
        <v>57</v>
      </c>
      <c r="AE5" t="s">
        <v>40</v>
      </c>
      <c r="AF5" t="s">
        <v>41</v>
      </c>
      <c r="AG5">
        <v>1</v>
      </c>
      <c r="AH5" t="s">
        <v>330</v>
      </c>
    </row>
    <row r="6" spans="1:34" x14ac:dyDescent="0.2">
      <c r="A6">
        <v>353040</v>
      </c>
      <c r="B6" t="s">
        <v>58</v>
      </c>
      <c r="C6">
        <v>3</v>
      </c>
      <c r="D6" t="s">
        <v>359</v>
      </c>
      <c r="E6" t="s">
        <v>360</v>
      </c>
      <c r="F6">
        <v>4</v>
      </c>
      <c r="I6">
        <v>6</v>
      </c>
      <c r="K6">
        <v>28</v>
      </c>
      <c r="L6">
        <v>1</v>
      </c>
      <c r="M6">
        <v>2.2000000000000002</v>
      </c>
      <c r="N6">
        <v>2.2000000000000002</v>
      </c>
      <c r="O6">
        <v>12</v>
      </c>
      <c r="Q6">
        <v>1</v>
      </c>
      <c r="S6" t="s">
        <v>59</v>
      </c>
      <c r="T6" t="s">
        <v>60</v>
      </c>
      <c r="U6" t="s">
        <v>61</v>
      </c>
      <c r="V6" t="s">
        <v>47</v>
      </c>
      <c r="X6" t="s">
        <v>50</v>
      </c>
      <c r="Y6" t="s">
        <v>51</v>
      </c>
      <c r="Z6" t="s">
        <v>38</v>
      </c>
      <c r="AA6">
        <v>-3</v>
      </c>
      <c r="AB6">
        <v>-12</v>
      </c>
      <c r="AC6">
        <v>3</v>
      </c>
      <c r="AD6" t="s">
        <v>62</v>
      </c>
      <c r="AE6" t="s">
        <v>40</v>
      </c>
      <c r="AF6" t="s">
        <v>41</v>
      </c>
      <c r="AG6">
        <v>4</v>
      </c>
      <c r="AH6" t="s">
        <v>332</v>
      </c>
    </row>
    <row r="7" spans="1:34" x14ac:dyDescent="0.2">
      <c r="A7">
        <v>221060</v>
      </c>
      <c r="B7" t="s">
        <v>63</v>
      </c>
      <c r="C7">
        <v>50.460829493087559</v>
      </c>
      <c r="D7" t="s">
        <v>361</v>
      </c>
      <c r="E7" t="s">
        <v>362</v>
      </c>
      <c r="F7">
        <v>1.7835616438356163</v>
      </c>
      <c r="I7">
        <v>2</v>
      </c>
      <c r="K7">
        <v>3</v>
      </c>
      <c r="L7">
        <v>1.5714285714285716</v>
      </c>
      <c r="M7">
        <v>1</v>
      </c>
      <c r="N7">
        <v>1</v>
      </c>
      <c r="O7">
        <v>90</v>
      </c>
      <c r="Q7">
        <v>2</v>
      </c>
      <c r="T7" t="s">
        <v>64</v>
      </c>
      <c r="U7" t="s">
        <v>65</v>
      </c>
      <c r="V7" t="s">
        <v>47</v>
      </c>
      <c r="W7" t="s">
        <v>36</v>
      </c>
      <c r="X7" t="s">
        <v>37</v>
      </c>
      <c r="Y7" t="s">
        <v>37</v>
      </c>
      <c r="AA7">
        <v>50.460829493087559</v>
      </c>
      <c r="AB7">
        <v>90</v>
      </c>
      <c r="AC7">
        <v>50.460829493087559</v>
      </c>
      <c r="AD7" t="s">
        <v>66</v>
      </c>
      <c r="AE7" t="s">
        <v>40</v>
      </c>
      <c r="AF7" t="s">
        <v>41</v>
      </c>
      <c r="AG7">
        <v>7</v>
      </c>
      <c r="AH7" t="s">
        <v>332</v>
      </c>
    </row>
    <row r="8" spans="1:34" x14ac:dyDescent="0.2">
      <c r="A8">
        <v>221270</v>
      </c>
      <c r="B8" t="s">
        <v>70</v>
      </c>
      <c r="C8">
        <v>17.977611940298509</v>
      </c>
      <c r="D8" t="s">
        <v>363</v>
      </c>
      <c r="E8" t="s">
        <v>364</v>
      </c>
      <c r="F8">
        <v>0.55068493150684927</v>
      </c>
      <c r="I8">
        <v>16</v>
      </c>
      <c r="K8">
        <v>201</v>
      </c>
      <c r="L8">
        <v>1</v>
      </c>
      <c r="M8">
        <v>2.5</v>
      </c>
      <c r="N8">
        <v>2.5</v>
      </c>
      <c r="O8">
        <v>9.9</v>
      </c>
      <c r="Q8">
        <v>1</v>
      </c>
      <c r="T8" t="s">
        <v>45</v>
      </c>
      <c r="U8" t="s">
        <v>68</v>
      </c>
      <c r="V8" t="s">
        <v>69</v>
      </c>
      <c r="W8" t="s">
        <v>36</v>
      </c>
      <c r="X8" t="s">
        <v>37</v>
      </c>
      <c r="Y8" t="s">
        <v>37</v>
      </c>
      <c r="Z8" t="s">
        <v>71</v>
      </c>
      <c r="AA8">
        <v>17.977611940298509</v>
      </c>
      <c r="AB8">
        <v>9.9</v>
      </c>
      <c r="AC8">
        <v>17.977611940298509</v>
      </c>
      <c r="AD8" t="s">
        <v>74</v>
      </c>
      <c r="AE8" t="s">
        <v>40</v>
      </c>
      <c r="AF8" t="s">
        <v>41</v>
      </c>
      <c r="AG8">
        <v>2</v>
      </c>
      <c r="AH8" t="s">
        <v>333</v>
      </c>
    </row>
    <row r="9" spans="1:34" x14ac:dyDescent="0.2">
      <c r="A9">
        <v>221270</v>
      </c>
      <c r="B9" t="s">
        <v>70</v>
      </c>
      <c r="C9">
        <v>19.836956521739129</v>
      </c>
      <c r="D9" t="s">
        <v>365</v>
      </c>
      <c r="E9" t="s">
        <v>366</v>
      </c>
      <c r="F9">
        <v>0.75616438356164384</v>
      </c>
      <c r="I9">
        <v>16</v>
      </c>
      <c r="K9">
        <v>201</v>
      </c>
      <c r="L9">
        <v>1</v>
      </c>
      <c r="M9">
        <v>2.5</v>
      </c>
      <c r="N9">
        <v>2.5</v>
      </c>
      <c r="O9">
        <v>15</v>
      </c>
      <c r="Q9">
        <v>1</v>
      </c>
      <c r="T9" t="s">
        <v>45</v>
      </c>
      <c r="U9" t="s">
        <v>68</v>
      </c>
      <c r="V9" t="s">
        <v>69</v>
      </c>
      <c r="W9" t="s">
        <v>36</v>
      </c>
      <c r="X9" t="s">
        <v>37</v>
      </c>
      <c r="Y9" t="s">
        <v>37</v>
      </c>
      <c r="Z9" t="s">
        <v>71</v>
      </c>
      <c r="AA9">
        <v>19.836956521739129</v>
      </c>
      <c r="AB9">
        <v>15</v>
      </c>
      <c r="AC9">
        <v>19.836956521739129</v>
      </c>
      <c r="AD9" t="s">
        <v>75</v>
      </c>
      <c r="AE9" t="s">
        <v>40</v>
      </c>
      <c r="AF9" t="s">
        <v>41</v>
      </c>
      <c r="AG9">
        <v>2</v>
      </c>
      <c r="AH9" t="s">
        <v>333</v>
      </c>
    </row>
    <row r="10" spans="1:34" x14ac:dyDescent="0.2">
      <c r="A10">
        <v>221270</v>
      </c>
      <c r="B10" t="s">
        <v>70</v>
      </c>
      <c r="C10">
        <v>2.8026785714285714</v>
      </c>
      <c r="D10" t="s">
        <v>367</v>
      </c>
      <c r="E10" t="s">
        <v>368</v>
      </c>
      <c r="F10">
        <v>1.5342465753424657</v>
      </c>
      <c r="I10">
        <v>16</v>
      </c>
      <c r="K10">
        <v>201</v>
      </c>
      <c r="L10">
        <v>1</v>
      </c>
      <c r="M10">
        <v>2.5</v>
      </c>
      <c r="N10">
        <v>2.5</v>
      </c>
      <c r="O10">
        <v>4.3</v>
      </c>
      <c r="Q10">
        <v>1</v>
      </c>
      <c r="T10" t="s">
        <v>45</v>
      </c>
      <c r="U10" t="s">
        <v>68</v>
      </c>
      <c r="V10" t="s">
        <v>69</v>
      </c>
      <c r="W10" t="s">
        <v>36</v>
      </c>
      <c r="X10" t="s">
        <v>50</v>
      </c>
      <c r="Y10" t="s">
        <v>51</v>
      </c>
      <c r="Z10" t="s">
        <v>71</v>
      </c>
      <c r="AA10">
        <v>-2.8026785714285714</v>
      </c>
      <c r="AB10">
        <v>-4.3</v>
      </c>
      <c r="AC10">
        <v>2.8026785714285714</v>
      </c>
      <c r="AD10" t="s">
        <v>73</v>
      </c>
      <c r="AE10" t="s">
        <v>40</v>
      </c>
      <c r="AF10" t="s">
        <v>41</v>
      </c>
      <c r="AG10">
        <v>4</v>
      </c>
      <c r="AH10" t="s">
        <v>332</v>
      </c>
    </row>
    <row r="11" spans="1:34" x14ac:dyDescent="0.2">
      <c r="A11">
        <v>221270</v>
      </c>
      <c r="B11" t="s">
        <v>70</v>
      </c>
      <c r="C11">
        <v>1.3615079365079357</v>
      </c>
      <c r="D11" t="s">
        <v>369</v>
      </c>
      <c r="E11" t="s">
        <v>370</v>
      </c>
      <c r="F11">
        <v>3.4520547945205502</v>
      </c>
      <c r="I11">
        <v>16</v>
      </c>
      <c r="K11">
        <v>201</v>
      </c>
      <c r="L11">
        <v>1</v>
      </c>
      <c r="M11">
        <v>2.5</v>
      </c>
      <c r="N11">
        <v>2.5</v>
      </c>
      <c r="O11">
        <v>4.7</v>
      </c>
      <c r="Q11">
        <v>1</v>
      </c>
      <c r="T11" t="s">
        <v>45</v>
      </c>
      <c r="U11" t="s">
        <v>68</v>
      </c>
      <c r="V11" t="s">
        <v>69</v>
      </c>
      <c r="W11" t="s">
        <v>36</v>
      </c>
      <c r="X11" t="s">
        <v>50</v>
      </c>
      <c r="Y11" t="s">
        <v>51</v>
      </c>
      <c r="Z11" t="s">
        <v>71</v>
      </c>
      <c r="AA11">
        <v>-1.3615079365079357</v>
      </c>
      <c r="AB11">
        <v>-4.7</v>
      </c>
      <c r="AC11">
        <v>1.3615079365079357</v>
      </c>
      <c r="AD11" t="s">
        <v>72</v>
      </c>
      <c r="AE11" t="s">
        <v>40</v>
      </c>
      <c r="AF11" t="s">
        <v>41</v>
      </c>
      <c r="AG11">
        <v>4</v>
      </c>
      <c r="AH11" t="s">
        <v>332</v>
      </c>
    </row>
    <row r="12" spans="1:34" x14ac:dyDescent="0.2">
      <c r="A12">
        <v>311190</v>
      </c>
      <c r="B12" t="s">
        <v>76</v>
      </c>
      <c r="C12">
        <v>0.5</v>
      </c>
      <c r="D12" t="s">
        <v>357</v>
      </c>
      <c r="E12" t="s">
        <v>356</v>
      </c>
      <c r="F12">
        <v>16</v>
      </c>
      <c r="I12">
        <v>2</v>
      </c>
      <c r="J12">
        <v>0.47746482927568601</v>
      </c>
      <c r="K12">
        <v>3</v>
      </c>
      <c r="L12">
        <v>1</v>
      </c>
      <c r="M12">
        <v>0.4</v>
      </c>
      <c r="N12">
        <v>0.4</v>
      </c>
      <c r="O12">
        <v>8</v>
      </c>
      <c r="Q12">
        <v>1</v>
      </c>
      <c r="S12" t="s">
        <v>44</v>
      </c>
      <c r="T12" t="s">
        <v>45</v>
      </c>
      <c r="U12" t="s">
        <v>46</v>
      </c>
      <c r="V12" t="s">
        <v>35</v>
      </c>
      <c r="X12" t="s">
        <v>50</v>
      </c>
      <c r="Y12" t="s">
        <v>51</v>
      </c>
      <c r="Z12" t="s">
        <v>71</v>
      </c>
      <c r="AA12">
        <v>-0.5</v>
      </c>
      <c r="AB12">
        <v>-8</v>
      </c>
      <c r="AC12">
        <v>0.5</v>
      </c>
      <c r="AD12" t="s">
        <v>78</v>
      </c>
      <c r="AE12" t="s">
        <v>40</v>
      </c>
      <c r="AF12" t="s">
        <v>41</v>
      </c>
      <c r="AG12">
        <v>8</v>
      </c>
      <c r="AH12" t="s">
        <v>332</v>
      </c>
    </row>
    <row r="13" spans="1:34" x14ac:dyDescent="0.2">
      <c r="A13">
        <v>312090</v>
      </c>
      <c r="B13" t="s">
        <v>79</v>
      </c>
      <c r="C13">
        <v>10</v>
      </c>
      <c r="D13" t="s">
        <v>355</v>
      </c>
      <c r="E13" t="s">
        <v>371</v>
      </c>
      <c r="F13">
        <v>18</v>
      </c>
      <c r="I13">
        <v>8</v>
      </c>
      <c r="J13">
        <v>1.9894367886486917</v>
      </c>
      <c r="K13">
        <v>50</v>
      </c>
      <c r="L13">
        <v>1</v>
      </c>
      <c r="M13">
        <v>4</v>
      </c>
      <c r="N13">
        <v>4</v>
      </c>
      <c r="O13">
        <v>180</v>
      </c>
      <c r="Q13">
        <v>1</v>
      </c>
      <c r="S13" t="s">
        <v>44</v>
      </c>
      <c r="T13" t="s">
        <v>33</v>
      </c>
      <c r="U13" t="s">
        <v>34</v>
      </c>
      <c r="V13" t="s">
        <v>35</v>
      </c>
      <c r="X13" t="s">
        <v>50</v>
      </c>
      <c r="Y13" t="s">
        <v>51</v>
      </c>
      <c r="Z13" t="s">
        <v>48</v>
      </c>
      <c r="AA13">
        <v>-10</v>
      </c>
      <c r="AB13">
        <v>-180</v>
      </c>
      <c r="AC13">
        <v>10</v>
      </c>
      <c r="AD13" t="s">
        <v>80</v>
      </c>
      <c r="AE13" t="s">
        <v>40</v>
      </c>
      <c r="AF13" t="s">
        <v>41</v>
      </c>
      <c r="AG13">
        <v>4</v>
      </c>
      <c r="AH13" t="s">
        <v>332</v>
      </c>
    </row>
    <row r="14" spans="1:34" x14ac:dyDescent="0.2">
      <c r="A14">
        <v>373060</v>
      </c>
      <c r="B14" t="s">
        <v>83</v>
      </c>
      <c r="C14">
        <v>3</v>
      </c>
      <c r="D14" t="s">
        <v>358</v>
      </c>
      <c r="E14" t="s">
        <v>356</v>
      </c>
      <c r="F14">
        <v>9</v>
      </c>
      <c r="I14">
        <v>8</v>
      </c>
      <c r="J14">
        <v>1.9894367886486917</v>
      </c>
      <c r="K14">
        <v>50</v>
      </c>
      <c r="L14">
        <v>1</v>
      </c>
      <c r="M14">
        <v>3.2</v>
      </c>
      <c r="N14">
        <v>3.8</v>
      </c>
      <c r="O14">
        <v>27</v>
      </c>
      <c r="Q14">
        <v>1</v>
      </c>
      <c r="S14" t="s">
        <v>84</v>
      </c>
      <c r="T14" t="s">
        <v>45</v>
      </c>
      <c r="U14" t="s">
        <v>61</v>
      </c>
      <c r="V14" t="s">
        <v>47</v>
      </c>
      <c r="X14" t="s">
        <v>50</v>
      </c>
      <c r="Y14" t="s">
        <v>51</v>
      </c>
      <c r="Z14" t="s">
        <v>38</v>
      </c>
      <c r="AA14">
        <v>-3</v>
      </c>
      <c r="AB14">
        <v>-27</v>
      </c>
      <c r="AC14">
        <v>3</v>
      </c>
      <c r="AD14" t="s">
        <v>85</v>
      </c>
      <c r="AE14" t="s">
        <v>40</v>
      </c>
      <c r="AF14" t="s">
        <v>41</v>
      </c>
      <c r="AG14">
        <v>4</v>
      </c>
      <c r="AH14" t="s">
        <v>329</v>
      </c>
    </row>
    <row r="15" spans="1:34" x14ac:dyDescent="0.2">
      <c r="A15">
        <v>311160</v>
      </c>
      <c r="B15" t="s">
        <v>86</v>
      </c>
      <c r="C15">
        <v>14.313725490196079</v>
      </c>
      <c r="D15" t="s">
        <v>353</v>
      </c>
      <c r="E15" t="s">
        <v>372</v>
      </c>
      <c r="F15">
        <v>0.41917808219178082</v>
      </c>
      <c r="H15">
        <v>5</v>
      </c>
      <c r="I15">
        <v>18</v>
      </c>
      <c r="K15">
        <v>254</v>
      </c>
      <c r="L15">
        <v>1</v>
      </c>
      <c r="M15">
        <v>5.7</v>
      </c>
      <c r="N15">
        <v>5.7</v>
      </c>
      <c r="O15">
        <v>6</v>
      </c>
      <c r="Q15">
        <v>1</v>
      </c>
      <c r="T15" t="s">
        <v>87</v>
      </c>
      <c r="U15" t="s">
        <v>46</v>
      </c>
      <c r="V15" t="s">
        <v>47</v>
      </c>
      <c r="W15" t="s">
        <v>36</v>
      </c>
      <c r="X15" t="s">
        <v>37</v>
      </c>
      <c r="Y15" t="s">
        <v>37</v>
      </c>
      <c r="Z15" t="s">
        <v>93</v>
      </c>
      <c r="AA15">
        <v>14.313725490196079</v>
      </c>
      <c r="AB15">
        <v>6</v>
      </c>
      <c r="AC15">
        <v>14.313725490196079</v>
      </c>
      <c r="AD15" t="s">
        <v>94</v>
      </c>
      <c r="AE15" t="s">
        <v>40</v>
      </c>
      <c r="AF15" t="s">
        <v>41</v>
      </c>
      <c r="AG15">
        <v>2</v>
      </c>
      <c r="AH15" t="s">
        <v>331</v>
      </c>
    </row>
    <row r="16" spans="1:34" x14ac:dyDescent="0.2">
      <c r="A16">
        <v>311160</v>
      </c>
      <c r="B16" t="s">
        <v>86</v>
      </c>
      <c r="C16">
        <v>0.5</v>
      </c>
      <c r="D16" t="s">
        <v>373</v>
      </c>
      <c r="E16" t="s">
        <v>374</v>
      </c>
      <c r="F16">
        <v>1</v>
      </c>
      <c r="I16">
        <v>5</v>
      </c>
      <c r="J16">
        <v>1.25</v>
      </c>
      <c r="K16">
        <v>19.634954084936208</v>
      </c>
      <c r="L16">
        <v>1</v>
      </c>
      <c r="M16">
        <v>3</v>
      </c>
      <c r="N16">
        <v>4</v>
      </c>
      <c r="O16">
        <v>0.5</v>
      </c>
      <c r="Q16">
        <v>2</v>
      </c>
      <c r="S16" t="s">
        <v>44</v>
      </c>
      <c r="T16" t="s">
        <v>87</v>
      </c>
      <c r="U16" t="s">
        <v>46</v>
      </c>
      <c r="V16" t="s">
        <v>47</v>
      </c>
      <c r="X16" t="s">
        <v>50</v>
      </c>
      <c r="Y16" t="s">
        <v>51</v>
      </c>
      <c r="Z16" t="s">
        <v>52</v>
      </c>
      <c r="AA16">
        <v>-0.5</v>
      </c>
      <c r="AB16">
        <v>-0.5</v>
      </c>
      <c r="AC16">
        <v>0.5</v>
      </c>
      <c r="AD16" t="s">
        <v>88</v>
      </c>
      <c r="AE16" t="s">
        <v>40</v>
      </c>
      <c r="AF16" t="s">
        <v>41</v>
      </c>
      <c r="AG16">
        <v>4</v>
      </c>
      <c r="AH16" t="s">
        <v>332</v>
      </c>
    </row>
    <row r="17" spans="1:34" x14ac:dyDescent="0.2">
      <c r="A17">
        <v>311160</v>
      </c>
      <c r="B17" t="s">
        <v>86</v>
      </c>
      <c r="C17">
        <v>1</v>
      </c>
      <c r="D17" t="s">
        <v>359</v>
      </c>
      <c r="E17" t="s">
        <v>352</v>
      </c>
      <c r="F17">
        <v>1</v>
      </c>
      <c r="I17">
        <v>5</v>
      </c>
      <c r="J17">
        <v>1.25</v>
      </c>
      <c r="K17">
        <v>19.634954084936208</v>
      </c>
      <c r="L17">
        <v>1</v>
      </c>
      <c r="M17">
        <v>3</v>
      </c>
      <c r="N17">
        <v>4</v>
      </c>
      <c r="O17">
        <v>1</v>
      </c>
      <c r="Q17">
        <v>2</v>
      </c>
      <c r="S17" t="s">
        <v>44</v>
      </c>
      <c r="T17" t="s">
        <v>87</v>
      </c>
      <c r="U17" t="s">
        <v>46</v>
      </c>
      <c r="V17" t="s">
        <v>47</v>
      </c>
      <c r="X17" t="s">
        <v>50</v>
      </c>
      <c r="Y17" t="s">
        <v>51</v>
      </c>
      <c r="Z17" t="s">
        <v>52</v>
      </c>
      <c r="AA17">
        <v>-1</v>
      </c>
      <c r="AB17">
        <v>-1</v>
      </c>
      <c r="AC17">
        <v>1</v>
      </c>
      <c r="AD17" t="s">
        <v>89</v>
      </c>
      <c r="AE17" t="s">
        <v>40</v>
      </c>
      <c r="AF17" t="s">
        <v>41</v>
      </c>
      <c r="AG17">
        <v>4</v>
      </c>
      <c r="AH17" t="s">
        <v>332</v>
      </c>
    </row>
    <row r="18" spans="1:34" x14ac:dyDescent="0.2">
      <c r="A18">
        <v>311160</v>
      </c>
      <c r="B18" t="s">
        <v>86</v>
      </c>
      <c r="C18">
        <v>1</v>
      </c>
      <c r="D18" t="s">
        <v>352</v>
      </c>
      <c r="E18" t="s">
        <v>375</v>
      </c>
      <c r="F18">
        <v>1</v>
      </c>
      <c r="I18">
        <v>5</v>
      </c>
      <c r="J18">
        <v>1.25</v>
      </c>
      <c r="K18">
        <v>19.634954084936208</v>
      </c>
      <c r="L18">
        <v>1</v>
      </c>
      <c r="M18">
        <v>3</v>
      </c>
      <c r="N18">
        <v>4</v>
      </c>
      <c r="O18">
        <v>1</v>
      </c>
      <c r="Q18">
        <v>2</v>
      </c>
      <c r="S18" t="s">
        <v>44</v>
      </c>
      <c r="T18" t="s">
        <v>87</v>
      </c>
      <c r="U18" t="s">
        <v>46</v>
      </c>
      <c r="V18" t="s">
        <v>47</v>
      </c>
      <c r="X18" t="s">
        <v>50</v>
      </c>
      <c r="Y18" t="s">
        <v>51</v>
      </c>
      <c r="Z18" t="s">
        <v>52</v>
      </c>
      <c r="AA18">
        <v>-1</v>
      </c>
      <c r="AB18">
        <v>-1</v>
      </c>
      <c r="AC18">
        <v>1</v>
      </c>
      <c r="AD18" t="s">
        <v>90</v>
      </c>
      <c r="AE18" t="s">
        <v>40</v>
      </c>
      <c r="AF18" t="s">
        <v>41</v>
      </c>
      <c r="AG18">
        <v>4</v>
      </c>
      <c r="AH18" t="s">
        <v>332</v>
      </c>
    </row>
    <row r="19" spans="1:34" x14ac:dyDescent="0.2">
      <c r="A19">
        <v>311160</v>
      </c>
      <c r="B19" t="s">
        <v>86</v>
      </c>
      <c r="C19">
        <v>3</v>
      </c>
      <c r="D19" t="s">
        <v>375</v>
      </c>
      <c r="E19" t="s">
        <v>358</v>
      </c>
      <c r="F19">
        <v>1</v>
      </c>
      <c r="I19">
        <v>18</v>
      </c>
      <c r="J19">
        <v>4.5</v>
      </c>
      <c r="K19">
        <v>254.46900494077323</v>
      </c>
      <c r="L19">
        <v>1</v>
      </c>
      <c r="M19">
        <v>5.7</v>
      </c>
      <c r="N19">
        <v>5.7</v>
      </c>
      <c r="O19">
        <v>3</v>
      </c>
      <c r="Q19">
        <v>2</v>
      </c>
      <c r="S19" t="s">
        <v>44</v>
      </c>
      <c r="T19" t="s">
        <v>87</v>
      </c>
      <c r="U19" t="s">
        <v>46</v>
      </c>
      <c r="V19" t="s">
        <v>47</v>
      </c>
      <c r="X19" t="s">
        <v>37</v>
      </c>
      <c r="Y19" t="s">
        <v>37</v>
      </c>
      <c r="Z19" t="s">
        <v>38</v>
      </c>
      <c r="AA19">
        <v>3</v>
      </c>
      <c r="AB19">
        <v>3</v>
      </c>
      <c r="AC19">
        <v>3</v>
      </c>
      <c r="AD19" t="s">
        <v>91</v>
      </c>
      <c r="AE19" t="s">
        <v>40</v>
      </c>
      <c r="AF19" t="s">
        <v>41</v>
      </c>
      <c r="AG19">
        <v>1</v>
      </c>
      <c r="AH19" t="s">
        <v>333</v>
      </c>
    </row>
    <row r="20" spans="1:34" x14ac:dyDescent="0.2">
      <c r="A20">
        <v>311160</v>
      </c>
      <c r="B20" t="s">
        <v>86</v>
      </c>
      <c r="C20">
        <v>3</v>
      </c>
      <c r="D20" t="s">
        <v>376</v>
      </c>
      <c r="E20" t="s">
        <v>373</v>
      </c>
      <c r="F20">
        <v>1</v>
      </c>
      <c r="I20">
        <v>18</v>
      </c>
      <c r="J20">
        <v>4.5</v>
      </c>
      <c r="K20">
        <v>254.46900494077323</v>
      </c>
      <c r="L20">
        <v>1</v>
      </c>
      <c r="M20">
        <v>5.7</v>
      </c>
      <c r="N20">
        <v>5.7</v>
      </c>
      <c r="O20">
        <v>3</v>
      </c>
      <c r="Q20">
        <v>2</v>
      </c>
      <c r="S20" t="s">
        <v>44</v>
      </c>
      <c r="T20" t="s">
        <v>87</v>
      </c>
      <c r="U20" t="s">
        <v>46</v>
      </c>
      <c r="V20" t="s">
        <v>47</v>
      </c>
      <c r="X20" t="s">
        <v>37</v>
      </c>
      <c r="Y20" t="s">
        <v>37</v>
      </c>
      <c r="Z20" t="s">
        <v>38</v>
      </c>
      <c r="AA20">
        <v>3</v>
      </c>
      <c r="AB20">
        <v>3</v>
      </c>
      <c r="AC20">
        <v>3</v>
      </c>
      <c r="AD20" t="s">
        <v>92</v>
      </c>
      <c r="AE20" t="s">
        <v>40</v>
      </c>
      <c r="AF20" t="s">
        <v>41</v>
      </c>
      <c r="AG20">
        <v>1</v>
      </c>
      <c r="AH20" t="s">
        <v>333</v>
      </c>
    </row>
    <row r="21" spans="1:34" x14ac:dyDescent="0.2">
      <c r="A21">
        <v>313010</v>
      </c>
      <c r="B21" t="s">
        <v>95</v>
      </c>
      <c r="C21">
        <v>20</v>
      </c>
      <c r="D21" t="s">
        <v>377</v>
      </c>
      <c r="E21" t="s">
        <v>378</v>
      </c>
      <c r="F21">
        <v>0.33424657534246577</v>
      </c>
      <c r="I21">
        <v>4</v>
      </c>
      <c r="J21">
        <v>1.0345071300973196</v>
      </c>
      <c r="K21">
        <v>13</v>
      </c>
      <c r="L21">
        <v>1</v>
      </c>
      <c r="M21">
        <v>10.6</v>
      </c>
      <c r="N21">
        <v>10.6</v>
      </c>
      <c r="O21">
        <v>6.6849315068493151</v>
      </c>
      <c r="Q21">
        <v>2</v>
      </c>
      <c r="S21" t="s">
        <v>44</v>
      </c>
      <c r="T21" t="s">
        <v>96</v>
      </c>
      <c r="U21" t="s">
        <v>34</v>
      </c>
      <c r="V21" t="s">
        <v>35</v>
      </c>
      <c r="X21" t="s">
        <v>37</v>
      </c>
      <c r="Y21" t="s">
        <v>37</v>
      </c>
      <c r="Z21" t="s">
        <v>48</v>
      </c>
      <c r="AA21">
        <v>20</v>
      </c>
      <c r="AB21">
        <v>6.6849315068493151</v>
      </c>
      <c r="AC21">
        <v>20</v>
      </c>
      <c r="AD21" t="s">
        <v>99</v>
      </c>
      <c r="AE21" t="s">
        <v>40</v>
      </c>
      <c r="AF21" t="s">
        <v>41</v>
      </c>
      <c r="AG21">
        <v>2</v>
      </c>
      <c r="AH21" t="s">
        <v>334</v>
      </c>
    </row>
    <row r="22" spans="1:34" x14ac:dyDescent="0.2">
      <c r="A22">
        <v>313010</v>
      </c>
      <c r="B22" t="s">
        <v>95</v>
      </c>
      <c r="C22">
        <v>3</v>
      </c>
      <c r="D22" t="s">
        <v>355</v>
      </c>
      <c r="E22" t="s">
        <v>374</v>
      </c>
      <c r="F22">
        <v>13</v>
      </c>
      <c r="I22">
        <v>7</v>
      </c>
      <c r="J22">
        <v>1.7279679535691495</v>
      </c>
      <c r="K22">
        <v>38</v>
      </c>
      <c r="L22">
        <v>1</v>
      </c>
      <c r="M22">
        <v>9.6</v>
      </c>
      <c r="N22">
        <v>9.6</v>
      </c>
      <c r="O22">
        <v>39</v>
      </c>
      <c r="Q22">
        <v>2</v>
      </c>
      <c r="S22" t="s">
        <v>44</v>
      </c>
      <c r="T22" t="s">
        <v>96</v>
      </c>
      <c r="U22" t="s">
        <v>34</v>
      </c>
      <c r="V22" t="s">
        <v>35</v>
      </c>
      <c r="X22" t="s">
        <v>50</v>
      </c>
      <c r="Y22" t="s">
        <v>51</v>
      </c>
      <c r="Z22" t="s">
        <v>77</v>
      </c>
      <c r="AA22">
        <v>-3</v>
      </c>
      <c r="AB22">
        <v>-39</v>
      </c>
      <c r="AC22">
        <v>3</v>
      </c>
      <c r="AD22" t="s">
        <v>97</v>
      </c>
      <c r="AE22" t="s">
        <v>40</v>
      </c>
      <c r="AF22" t="s">
        <v>41</v>
      </c>
      <c r="AG22">
        <v>4</v>
      </c>
      <c r="AH22" t="s">
        <v>329</v>
      </c>
    </row>
    <row r="23" spans="1:34" x14ac:dyDescent="0.2">
      <c r="A23">
        <v>353060</v>
      </c>
      <c r="B23" t="s">
        <v>100</v>
      </c>
      <c r="C23">
        <v>2.4739311783107407</v>
      </c>
      <c r="D23" t="s">
        <v>379</v>
      </c>
      <c r="E23" t="s">
        <v>380</v>
      </c>
      <c r="F23">
        <v>5.2547945205479456</v>
      </c>
      <c r="I23">
        <v>11</v>
      </c>
      <c r="K23">
        <v>95.033177771091246</v>
      </c>
      <c r="L23">
        <v>1</v>
      </c>
      <c r="M23">
        <v>5</v>
      </c>
      <c r="N23">
        <v>5</v>
      </c>
      <c r="O23">
        <v>13</v>
      </c>
      <c r="Q23">
        <v>2</v>
      </c>
      <c r="T23" t="s">
        <v>60</v>
      </c>
      <c r="U23" t="s">
        <v>61</v>
      </c>
      <c r="V23" t="s">
        <v>47</v>
      </c>
      <c r="W23" t="s">
        <v>36</v>
      </c>
      <c r="X23" t="s">
        <v>37</v>
      </c>
      <c r="Y23" t="s">
        <v>37</v>
      </c>
      <c r="Z23" t="s">
        <v>38</v>
      </c>
      <c r="AA23">
        <v>2.4739311783107407</v>
      </c>
      <c r="AB23">
        <v>13</v>
      </c>
      <c r="AC23">
        <v>2.4739311783107407</v>
      </c>
      <c r="AD23" t="s">
        <v>101</v>
      </c>
      <c r="AE23" t="s">
        <v>40</v>
      </c>
      <c r="AF23" t="s">
        <v>41</v>
      </c>
      <c r="AG23">
        <v>1</v>
      </c>
      <c r="AH23" t="s">
        <v>329</v>
      </c>
    </row>
    <row r="24" spans="1:34" x14ac:dyDescent="0.2">
      <c r="A24">
        <v>373030</v>
      </c>
      <c r="B24" t="s">
        <v>102</v>
      </c>
      <c r="C24">
        <v>18250</v>
      </c>
      <c r="D24" t="s">
        <v>381</v>
      </c>
      <c r="E24" t="s">
        <v>382</v>
      </c>
      <c r="F24">
        <v>0.16986301369863013</v>
      </c>
      <c r="I24">
        <v>12</v>
      </c>
      <c r="J24">
        <v>3</v>
      </c>
      <c r="K24">
        <v>113.09733552923255</v>
      </c>
      <c r="L24">
        <v>4</v>
      </c>
      <c r="M24">
        <v>12</v>
      </c>
      <c r="N24">
        <v>12</v>
      </c>
      <c r="O24">
        <v>3100</v>
      </c>
      <c r="Q24">
        <v>2</v>
      </c>
      <c r="S24" t="s">
        <v>84</v>
      </c>
      <c r="T24" t="s">
        <v>45</v>
      </c>
      <c r="U24" t="s">
        <v>61</v>
      </c>
      <c r="V24" t="s">
        <v>47</v>
      </c>
      <c r="X24" t="s">
        <v>50</v>
      </c>
      <c r="Y24" t="s">
        <v>51</v>
      </c>
      <c r="Z24" t="s">
        <v>103</v>
      </c>
      <c r="AA24">
        <v>-18250</v>
      </c>
      <c r="AB24">
        <v>-3100</v>
      </c>
      <c r="AC24">
        <v>18250</v>
      </c>
      <c r="AD24" t="s">
        <v>104</v>
      </c>
      <c r="AE24" t="s">
        <v>40</v>
      </c>
      <c r="AF24" t="s">
        <v>41</v>
      </c>
      <c r="AG24">
        <v>6</v>
      </c>
      <c r="AH24" t="s">
        <v>337</v>
      </c>
    </row>
    <row r="25" spans="1:34" x14ac:dyDescent="0.2">
      <c r="A25">
        <v>221250</v>
      </c>
      <c r="B25" t="s">
        <v>105</v>
      </c>
      <c r="C25">
        <v>2.0470899470899471</v>
      </c>
      <c r="D25" t="s">
        <v>383</v>
      </c>
      <c r="E25" t="s">
        <v>368</v>
      </c>
      <c r="F25">
        <v>2.5890410958904111</v>
      </c>
      <c r="H25">
        <v>8</v>
      </c>
      <c r="I25">
        <v>8</v>
      </c>
      <c r="K25">
        <v>50</v>
      </c>
      <c r="L25">
        <v>1</v>
      </c>
      <c r="M25">
        <v>1.9</v>
      </c>
      <c r="N25">
        <v>1.9</v>
      </c>
      <c r="O25">
        <v>5.3</v>
      </c>
      <c r="Q25">
        <v>1</v>
      </c>
      <c r="T25" t="s">
        <v>106</v>
      </c>
      <c r="U25" t="s">
        <v>68</v>
      </c>
      <c r="V25" t="s">
        <v>69</v>
      </c>
      <c r="W25" t="s">
        <v>36</v>
      </c>
      <c r="X25" t="s">
        <v>37</v>
      </c>
      <c r="Y25" t="s">
        <v>37</v>
      </c>
      <c r="Z25" t="s">
        <v>38</v>
      </c>
      <c r="AA25">
        <v>2.0470899470899471</v>
      </c>
      <c r="AB25">
        <v>5.3</v>
      </c>
      <c r="AC25">
        <v>2.0470899470899471</v>
      </c>
      <c r="AD25" t="s">
        <v>107</v>
      </c>
      <c r="AE25" t="s">
        <v>40</v>
      </c>
      <c r="AF25" t="s">
        <v>41</v>
      </c>
      <c r="AG25">
        <v>1</v>
      </c>
      <c r="AH25" t="s">
        <v>329</v>
      </c>
    </row>
    <row r="26" spans="1:34" x14ac:dyDescent="0.2">
      <c r="A26">
        <v>211010</v>
      </c>
      <c r="B26" t="s">
        <v>108</v>
      </c>
      <c r="C26">
        <v>10.496732026143791</v>
      </c>
      <c r="D26" t="s">
        <v>384</v>
      </c>
      <c r="E26" t="s">
        <v>385</v>
      </c>
      <c r="F26">
        <v>0.41917808219178082</v>
      </c>
      <c r="I26">
        <v>8</v>
      </c>
      <c r="K26">
        <v>50</v>
      </c>
      <c r="L26">
        <v>1.5</v>
      </c>
      <c r="M26">
        <v>1.4</v>
      </c>
      <c r="N26">
        <v>3.2</v>
      </c>
      <c r="O26">
        <v>4.4000000000000004</v>
      </c>
      <c r="Q26">
        <v>1</v>
      </c>
      <c r="T26" t="s">
        <v>33</v>
      </c>
      <c r="U26" t="s">
        <v>34</v>
      </c>
      <c r="V26" t="s">
        <v>109</v>
      </c>
      <c r="W26" t="s">
        <v>36</v>
      </c>
      <c r="X26" t="s">
        <v>37</v>
      </c>
      <c r="Y26" t="s">
        <v>37</v>
      </c>
      <c r="AA26">
        <v>10.496732026143791</v>
      </c>
      <c r="AB26">
        <v>4.4000000000000004</v>
      </c>
      <c r="AC26">
        <v>10.496732026143791</v>
      </c>
      <c r="AD26" t="s">
        <v>115</v>
      </c>
      <c r="AE26" t="s">
        <v>40</v>
      </c>
      <c r="AF26" t="s">
        <v>41</v>
      </c>
      <c r="AG26">
        <v>2</v>
      </c>
      <c r="AH26" t="s">
        <v>329</v>
      </c>
    </row>
    <row r="27" spans="1:34" x14ac:dyDescent="0.2">
      <c r="A27">
        <v>211010</v>
      </c>
      <c r="B27" t="s">
        <v>108</v>
      </c>
      <c r="C27">
        <v>1.3</v>
      </c>
      <c r="D27" t="s">
        <v>373</v>
      </c>
      <c r="E27" t="s">
        <v>386</v>
      </c>
      <c r="F27">
        <v>2</v>
      </c>
      <c r="I27">
        <v>10</v>
      </c>
      <c r="K27">
        <v>79</v>
      </c>
      <c r="L27">
        <v>2</v>
      </c>
      <c r="M27">
        <v>1.8</v>
      </c>
      <c r="N27">
        <v>2.1</v>
      </c>
      <c r="O27">
        <v>2.6</v>
      </c>
      <c r="Q27">
        <v>1</v>
      </c>
      <c r="T27" t="s">
        <v>33</v>
      </c>
      <c r="U27" t="s">
        <v>34</v>
      </c>
      <c r="V27" t="s">
        <v>109</v>
      </c>
      <c r="W27" t="s">
        <v>36</v>
      </c>
      <c r="X27" t="s">
        <v>37</v>
      </c>
      <c r="Y27" t="s">
        <v>37</v>
      </c>
      <c r="AA27">
        <v>1.3</v>
      </c>
      <c r="AB27">
        <v>2.6</v>
      </c>
      <c r="AC27">
        <v>1.3</v>
      </c>
      <c r="AD27" t="s">
        <v>111</v>
      </c>
      <c r="AE27" t="s">
        <v>40</v>
      </c>
      <c r="AF27" t="s">
        <v>41</v>
      </c>
      <c r="AG27">
        <v>3</v>
      </c>
      <c r="AH27" t="s">
        <v>329</v>
      </c>
    </row>
    <row r="28" spans="1:34" x14ac:dyDescent="0.2">
      <c r="A28">
        <v>211010</v>
      </c>
      <c r="B28" t="s">
        <v>108</v>
      </c>
      <c r="C28">
        <v>5</v>
      </c>
      <c r="D28" t="s">
        <v>371</v>
      </c>
      <c r="E28" t="s">
        <v>387</v>
      </c>
      <c r="F28">
        <v>3</v>
      </c>
      <c r="I28">
        <v>20</v>
      </c>
      <c r="K28">
        <v>314</v>
      </c>
      <c r="L28">
        <v>1.5</v>
      </c>
      <c r="M28">
        <v>1.8</v>
      </c>
      <c r="N28">
        <v>1.8</v>
      </c>
      <c r="O28">
        <v>15</v>
      </c>
      <c r="Q28">
        <v>1</v>
      </c>
      <c r="S28" t="s">
        <v>112</v>
      </c>
      <c r="T28" t="s">
        <v>33</v>
      </c>
      <c r="U28" t="s">
        <v>34</v>
      </c>
      <c r="V28" t="s">
        <v>109</v>
      </c>
      <c r="X28" t="s">
        <v>37</v>
      </c>
      <c r="Y28" t="s">
        <v>37</v>
      </c>
      <c r="Z28" t="s">
        <v>48</v>
      </c>
      <c r="AA28">
        <v>5</v>
      </c>
      <c r="AB28">
        <v>15</v>
      </c>
      <c r="AC28">
        <v>5</v>
      </c>
      <c r="AD28" t="s">
        <v>113</v>
      </c>
      <c r="AE28" t="s">
        <v>114</v>
      </c>
      <c r="AF28" t="s">
        <v>41</v>
      </c>
      <c r="AG28">
        <v>3</v>
      </c>
      <c r="AH28" t="s">
        <v>329</v>
      </c>
    </row>
    <row r="29" spans="1:34" x14ac:dyDescent="0.2">
      <c r="A29">
        <v>211010</v>
      </c>
      <c r="B29" t="s">
        <v>108</v>
      </c>
      <c r="C29">
        <v>0.43975903614457829</v>
      </c>
      <c r="D29" t="s">
        <v>388</v>
      </c>
      <c r="E29" t="s">
        <v>389</v>
      </c>
      <c r="F29">
        <v>7.5041095890410956</v>
      </c>
      <c r="I29">
        <v>15</v>
      </c>
      <c r="K29">
        <v>177</v>
      </c>
      <c r="L29">
        <v>1.5</v>
      </c>
      <c r="M29">
        <v>1.3</v>
      </c>
      <c r="N29">
        <v>3</v>
      </c>
      <c r="O29">
        <v>3.3</v>
      </c>
      <c r="Q29">
        <v>1</v>
      </c>
      <c r="T29" t="s">
        <v>33</v>
      </c>
      <c r="U29" t="s">
        <v>34</v>
      </c>
      <c r="V29" t="s">
        <v>109</v>
      </c>
      <c r="W29" t="s">
        <v>36</v>
      </c>
      <c r="X29" t="s">
        <v>50</v>
      </c>
      <c r="Y29" t="s">
        <v>51</v>
      </c>
      <c r="AA29">
        <v>-0.43975903614457829</v>
      </c>
      <c r="AB29">
        <v>-3.3</v>
      </c>
      <c r="AC29">
        <v>0.43975903614457829</v>
      </c>
      <c r="AD29" t="s">
        <v>110</v>
      </c>
      <c r="AE29" t="s">
        <v>40</v>
      </c>
      <c r="AF29" t="s">
        <v>41</v>
      </c>
      <c r="AG29">
        <v>4</v>
      </c>
      <c r="AH29" t="s">
        <v>332</v>
      </c>
    </row>
    <row r="30" spans="1:34" x14ac:dyDescent="0.2">
      <c r="A30">
        <v>305060</v>
      </c>
      <c r="B30" t="s">
        <v>116</v>
      </c>
      <c r="C30">
        <v>0.99863201094391241</v>
      </c>
      <c r="D30" t="s">
        <v>390</v>
      </c>
      <c r="E30" t="s">
        <v>391</v>
      </c>
      <c r="F30">
        <v>2.0027397260273974</v>
      </c>
      <c r="I30">
        <v>12</v>
      </c>
      <c r="K30">
        <v>113</v>
      </c>
      <c r="L30">
        <v>1</v>
      </c>
      <c r="M30">
        <v>9</v>
      </c>
      <c r="N30">
        <v>9</v>
      </c>
      <c r="O30">
        <v>2</v>
      </c>
      <c r="Q30">
        <v>1</v>
      </c>
      <c r="T30" t="s">
        <v>45</v>
      </c>
      <c r="U30" t="s">
        <v>117</v>
      </c>
      <c r="V30" t="s">
        <v>109</v>
      </c>
      <c r="W30" t="s">
        <v>36</v>
      </c>
      <c r="X30" t="s">
        <v>37</v>
      </c>
      <c r="Y30" t="s">
        <v>118</v>
      </c>
      <c r="Z30" t="s">
        <v>38</v>
      </c>
      <c r="AA30">
        <v>0.99863201094391241</v>
      </c>
      <c r="AB30">
        <v>2</v>
      </c>
      <c r="AC30">
        <v>0.99863201094391241</v>
      </c>
      <c r="AD30" t="s">
        <v>119</v>
      </c>
      <c r="AE30" t="s">
        <v>40</v>
      </c>
      <c r="AF30" t="s">
        <v>41</v>
      </c>
      <c r="AG30">
        <v>1</v>
      </c>
      <c r="AH30" t="s">
        <v>329</v>
      </c>
    </row>
    <row r="31" spans="1:34" x14ac:dyDescent="0.2">
      <c r="A31">
        <v>341040</v>
      </c>
      <c r="B31" t="s">
        <v>120</v>
      </c>
      <c r="C31">
        <v>4</v>
      </c>
      <c r="D31" t="s">
        <v>392</v>
      </c>
      <c r="E31" t="s">
        <v>393</v>
      </c>
      <c r="F31">
        <v>3.0136986301369864E-2</v>
      </c>
      <c r="I31">
        <v>1</v>
      </c>
      <c r="K31">
        <v>1</v>
      </c>
      <c r="L31">
        <v>1</v>
      </c>
      <c r="M31">
        <v>0.2</v>
      </c>
      <c r="N31">
        <v>0.2</v>
      </c>
      <c r="O31">
        <v>0.12054794520547946</v>
      </c>
      <c r="Q31">
        <v>2</v>
      </c>
      <c r="S31" t="s">
        <v>81</v>
      </c>
      <c r="T31" t="s">
        <v>87</v>
      </c>
      <c r="U31" t="s">
        <v>34</v>
      </c>
      <c r="V31" t="s">
        <v>35</v>
      </c>
      <c r="X31" t="s">
        <v>53</v>
      </c>
      <c r="Y31" t="s">
        <v>121</v>
      </c>
      <c r="Z31" t="s">
        <v>38</v>
      </c>
      <c r="AA31">
        <v>-4</v>
      </c>
      <c r="AB31">
        <v>-0.12054794520547946</v>
      </c>
      <c r="AC31">
        <v>4</v>
      </c>
      <c r="AD31" t="s">
        <v>122</v>
      </c>
      <c r="AE31" t="s">
        <v>40</v>
      </c>
      <c r="AF31" t="s">
        <v>41</v>
      </c>
      <c r="AG31">
        <v>9</v>
      </c>
      <c r="AH31" t="s">
        <v>331</v>
      </c>
    </row>
    <row r="32" spans="1:34" x14ac:dyDescent="0.2">
      <c r="A32">
        <v>357090</v>
      </c>
      <c r="B32" t="s">
        <v>123</v>
      </c>
      <c r="C32">
        <v>2</v>
      </c>
      <c r="D32" t="s">
        <v>394</v>
      </c>
      <c r="E32" t="s">
        <v>395</v>
      </c>
      <c r="F32">
        <v>6</v>
      </c>
      <c r="I32">
        <v>10</v>
      </c>
      <c r="K32">
        <v>79</v>
      </c>
      <c r="L32">
        <v>1</v>
      </c>
      <c r="M32">
        <v>3.4</v>
      </c>
      <c r="N32">
        <v>5.6</v>
      </c>
      <c r="O32">
        <v>12</v>
      </c>
      <c r="Q32">
        <v>2</v>
      </c>
      <c r="S32" t="s">
        <v>59</v>
      </c>
      <c r="T32" t="s">
        <v>45</v>
      </c>
      <c r="U32" t="s">
        <v>34</v>
      </c>
      <c r="V32" t="s">
        <v>124</v>
      </c>
      <c r="X32" t="s">
        <v>50</v>
      </c>
      <c r="Y32" t="s">
        <v>51</v>
      </c>
      <c r="Z32" t="s">
        <v>71</v>
      </c>
      <c r="AA32">
        <v>-2</v>
      </c>
      <c r="AB32">
        <v>-12</v>
      </c>
      <c r="AC32">
        <v>2</v>
      </c>
      <c r="AD32" t="s">
        <v>125</v>
      </c>
      <c r="AE32" t="s">
        <v>40</v>
      </c>
      <c r="AF32" t="s">
        <v>41</v>
      </c>
      <c r="AG32">
        <v>4</v>
      </c>
      <c r="AH32" t="s">
        <v>336</v>
      </c>
    </row>
    <row r="33" spans="1:34" x14ac:dyDescent="0.2">
      <c r="A33">
        <v>221290</v>
      </c>
      <c r="B33" t="s">
        <v>126</v>
      </c>
      <c r="C33">
        <v>51.100000000000009</v>
      </c>
      <c r="D33" t="s">
        <v>356</v>
      </c>
      <c r="E33">
        <v>2009</v>
      </c>
      <c r="F33">
        <v>8.2191780821917804E-2</v>
      </c>
      <c r="I33">
        <v>9</v>
      </c>
      <c r="K33">
        <v>64</v>
      </c>
      <c r="L33">
        <v>1</v>
      </c>
      <c r="M33">
        <v>8</v>
      </c>
      <c r="N33">
        <v>8</v>
      </c>
      <c r="O33">
        <v>4.2</v>
      </c>
      <c r="Q33">
        <v>1</v>
      </c>
      <c r="T33" t="s">
        <v>33</v>
      </c>
      <c r="U33" t="s">
        <v>68</v>
      </c>
      <c r="V33" t="s">
        <v>69</v>
      </c>
      <c r="W33" t="s">
        <v>36</v>
      </c>
      <c r="X33" t="s">
        <v>37</v>
      </c>
      <c r="Y33" t="s">
        <v>37</v>
      </c>
      <c r="Z33" t="s">
        <v>38</v>
      </c>
      <c r="AA33">
        <v>51.100000000000009</v>
      </c>
      <c r="AB33">
        <v>4.2</v>
      </c>
      <c r="AC33">
        <v>51.100000000000009</v>
      </c>
      <c r="AD33" t="s">
        <v>128</v>
      </c>
      <c r="AE33" t="s">
        <v>40</v>
      </c>
      <c r="AF33" t="s">
        <v>41</v>
      </c>
      <c r="AG33">
        <v>2</v>
      </c>
      <c r="AH33" t="s">
        <v>336</v>
      </c>
    </row>
    <row r="34" spans="1:34" x14ac:dyDescent="0.2">
      <c r="A34">
        <v>221290</v>
      </c>
      <c r="B34" t="s">
        <v>126</v>
      </c>
      <c r="C34">
        <v>4.666666666666667</v>
      </c>
      <c r="D34" t="s">
        <v>359</v>
      </c>
      <c r="E34">
        <v>2000</v>
      </c>
      <c r="F34">
        <v>3</v>
      </c>
      <c r="I34">
        <v>9</v>
      </c>
      <c r="K34">
        <v>64</v>
      </c>
      <c r="L34">
        <v>1</v>
      </c>
      <c r="M34">
        <v>8</v>
      </c>
      <c r="N34">
        <v>8</v>
      </c>
      <c r="O34">
        <v>14</v>
      </c>
      <c r="Q34">
        <v>1</v>
      </c>
      <c r="T34" t="s">
        <v>33</v>
      </c>
      <c r="U34" t="s">
        <v>68</v>
      </c>
      <c r="V34" t="s">
        <v>69</v>
      </c>
      <c r="W34" t="s">
        <v>36</v>
      </c>
      <c r="X34" t="s">
        <v>50</v>
      </c>
      <c r="Y34" t="s">
        <v>51</v>
      </c>
      <c r="Z34" t="s">
        <v>38</v>
      </c>
      <c r="AA34">
        <v>-4.666666666666667</v>
      </c>
      <c r="AB34">
        <v>-14</v>
      </c>
      <c r="AC34">
        <v>4.666666666666667</v>
      </c>
      <c r="AD34" t="s">
        <v>127</v>
      </c>
      <c r="AE34" t="s">
        <v>40</v>
      </c>
      <c r="AF34" t="s">
        <v>41</v>
      </c>
      <c r="AG34">
        <v>4</v>
      </c>
      <c r="AH34" t="s">
        <v>329</v>
      </c>
    </row>
    <row r="35" spans="1:34" x14ac:dyDescent="0.2">
      <c r="A35">
        <v>355101</v>
      </c>
      <c r="B35" t="s">
        <v>129</v>
      </c>
      <c r="C35">
        <v>0.5</v>
      </c>
      <c r="D35" t="s">
        <v>376</v>
      </c>
      <c r="E35" t="s">
        <v>371</v>
      </c>
      <c r="F35">
        <v>7</v>
      </c>
      <c r="H35">
        <v>13</v>
      </c>
      <c r="I35">
        <v>20</v>
      </c>
      <c r="K35">
        <v>314</v>
      </c>
      <c r="L35">
        <v>1</v>
      </c>
      <c r="M35">
        <v>13</v>
      </c>
      <c r="N35">
        <v>13</v>
      </c>
      <c r="O35">
        <v>3.5</v>
      </c>
      <c r="Q35">
        <v>1</v>
      </c>
      <c r="S35" t="s">
        <v>59</v>
      </c>
      <c r="T35" t="s">
        <v>87</v>
      </c>
      <c r="U35" t="s">
        <v>34</v>
      </c>
      <c r="V35" t="s">
        <v>35</v>
      </c>
      <c r="X35" t="s">
        <v>37</v>
      </c>
      <c r="Y35" t="s">
        <v>37</v>
      </c>
      <c r="Z35" t="s">
        <v>48</v>
      </c>
      <c r="AA35">
        <v>0.5</v>
      </c>
      <c r="AB35">
        <v>3.5</v>
      </c>
      <c r="AC35">
        <v>0.5</v>
      </c>
      <c r="AD35" t="s">
        <v>131</v>
      </c>
      <c r="AE35" t="s">
        <v>40</v>
      </c>
      <c r="AF35" t="s">
        <v>41</v>
      </c>
      <c r="AG35">
        <v>1</v>
      </c>
      <c r="AH35" t="s">
        <v>329</v>
      </c>
    </row>
    <row r="36" spans="1:34" x14ac:dyDescent="0.2">
      <c r="A36">
        <v>355101</v>
      </c>
      <c r="B36" t="s">
        <v>129</v>
      </c>
      <c r="C36">
        <v>0.4</v>
      </c>
      <c r="D36" t="s">
        <v>355</v>
      </c>
      <c r="E36" t="s">
        <v>376</v>
      </c>
      <c r="F36">
        <v>11</v>
      </c>
      <c r="H36">
        <v>13</v>
      </c>
      <c r="I36">
        <v>17</v>
      </c>
      <c r="K36">
        <v>227</v>
      </c>
      <c r="L36">
        <v>1</v>
      </c>
      <c r="M36">
        <v>9</v>
      </c>
      <c r="N36">
        <v>9</v>
      </c>
      <c r="O36">
        <v>4.4000000000000004</v>
      </c>
      <c r="Q36">
        <v>1</v>
      </c>
      <c r="S36" t="s">
        <v>59</v>
      </c>
      <c r="T36" t="s">
        <v>87</v>
      </c>
      <c r="U36" t="s">
        <v>34</v>
      </c>
      <c r="V36" t="s">
        <v>35</v>
      </c>
      <c r="X36" t="s">
        <v>50</v>
      </c>
      <c r="Y36" t="s">
        <v>51</v>
      </c>
      <c r="Z36" t="s">
        <v>48</v>
      </c>
      <c r="AA36">
        <v>-0.4</v>
      </c>
      <c r="AB36">
        <v>-4.4000000000000004</v>
      </c>
      <c r="AC36">
        <v>0.4</v>
      </c>
      <c r="AD36" t="s">
        <v>130</v>
      </c>
      <c r="AE36" t="s">
        <v>40</v>
      </c>
      <c r="AF36" t="s">
        <v>41</v>
      </c>
      <c r="AG36">
        <v>4</v>
      </c>
      <c r="AH36" t="s">
        <v>329</v>
      </c>
    </row>
    <row r="37" spans="1:34" x14ac:dyDescent="0.2">
      <c r="A37">
        <v>355121</v>
      </c>
      <c r="B37" t="s">
        <v>132</v>
      </c>
      <c r="C37">
        <v>3.5</v>
      </c>
      <c r="D37" t="s">
        <v>352</v>
      </c>
      <c r="E37" t="s">
        <v>396</v>
      </c>
      <c r="F37">
        <v>13</v>
      </c>
      <c r="H37">
        <v>9</v>
      </c>
      <c r="I37">
        <v>45</v>
      </c>
      <c r="J37">
        <v>37</v>
      </c>
      <c r="K37">
        <v>1308</v>
      </c>
      <c r="L37">
        <v>1.2162162162162162</v>
      </c>
      <c r="M37">
        <v>6</v>
      </c>
      <c r="N37">
        <v>15</v>
      </c>
      <c r="O37">
        <v>45.5</v>
      </c>
      <c r="Q37">
        <v>1</v>
      </c>
      <c r="S37" t="s">
        <v>59</v>
      </c>
      <c r="T37" t="s">
        <v>82</v>
      </c>
      <c r="U37" t="s">
        <v>34</v>
      </c>
      <c r="V37" t="s">
        <v>35</v>
      </c>
      <c r="X37" t="s">
        <v>37</v>
      </c>
      <c r="Y37" t="s">
        <v>37</v>
      </c>
      <c r="Z37" t="s">
        <v>38</v>
      </c>
      <c r="AA37">
        <v>3.5</v>
      </c>
      <c r="AB37">
        <v>45.5</v>
      </c>
      <c r="AC37">
        <v>3.5</v>
      </c>
      <c r="AD37" t="s">
        <v>133</v>
      </c>
      <c r="AE37" t="s">
        <v>40</v>
      </c>
      <c r="AF37" t="s">
        <v>41</v>
      </c>
      <c r="AG37">
        <v>1</v>
      </c>
      <c r="AH37" t="s">
        <v>333</v>
      </c>
    </row>
    <row r="38" spans="1:34" x14ac:dyDescent="0.2">
      <c r="A38">
        <v>323180</v>
      </c>
      <c r="B38" t="s">
        <v>134</v>
      </c>
      <c r="C38">
        <v>4</v>
      </c>
      <c r="D38" t="s">
        <v>355</v>
      </c>
      <c r="E38" t="s">
        <v>359</v>
      </c>
      <c r="F38">
        <v>5</v>
      </c>
      <c r="I38">
        <v>15</v>
      </c>
      <c r="J38">
        <v>10</v>
      </c>
      <c r="K38">
        <v>118</v>
      </c>
      <c r="L38">
        <v>1.5</v>
      </c>
      <c r="M38">
        <v>4</v>
      </c>
      <c r="N38">
        <v>4</v>
      </c>
      <c r="O38">
        <v>20</v>
      </c>
      <c r="Q38">
        <v>1</v>
      </c>
      <c r="S38" t="s">
        <v>135</v>
      </c>
      <c r="T38" t="s">
        <v>96</v>
      </c>
      <c r="U38" t="s">
        <v>68</v>
      </c>
      <c r="V38" t="s">
        <v>109</v>
      </c>
      <c r="X38" t="s">
        <v>50</v>
      </c>
      <c r="Y38" t="s">
        <v>51</v>
      </c>
      <c r="Z38" t="s">
        <v>136</v>
      </c>
      <c r="AA38">
        <v>-4</v>
      </c>
      <c r="AB38">
        <v>-20</v>
      </c>
      <c r="AC38">
        <v>4</v>
      </c>
      <c r="AD38" t="s">
        <v>137</v>
      </c>
      <c r="AE38" t="s">
        <v>40</v>
      </c>
      <c r="AF38" t="s">
        <v>41</v>
      </c>
      <c r="AG38">
        <v>4</v>
      </c>
      <c r="AH38" t="s">
        <v>336</v>
      </c>
    </row>
    <row r="39" spans="1:34" x14ac:dyDescent="0.2">
      <c r="A39">
        <v>221113</v>
      </c>
      <c r="B39" t="s">
        <v>138</v>
      </c>
      <c r="C39">
        <v>20857.142857142855</v>
      </c>
      <c r="D39" t="s">
        <v>397</v>
      </c>
      <c r="E39" t="s">
        <v>397</v>
      </c>
      <c r="F39">
        <v>1.9178082191780823E-2</v>
      </c>
      <c r="I39">
        <v>10</v>
      </c>
      <c r="K39">
        <v>79</v>
      </c>
      <c r="L39">
        <v>1</v>
      </c>
      <c r="M39">
        <v>5</v>
      </c>
      <c r="N39">
        <v>5</v>
      </c>
      <c r="O39">
        <v>400</v>
      </c>
      <c r="Q39">
        <v>2</v>
      </c>
      <c r="T39" t="s">
        <v>45</v>
      </c>
      <c r="U39" t="s">
        <v>65</v>
      </c>
      <c r="V39" t="s">
        <v>47</v>
      </c>
      <c r="W39" t="s">
        <v>36</v>
      </c>
      <c r="X39" t="s">
        <v>53</v>
      </c>
      <c r="Y39" t="s">
        <v>121</v>
      </c>
      <c r="Z39" t="s">
        <v>98</v>
      </c>
      <c r="AA39">
        <v>-20857.142857142855</v>
      </c>
      <c r="AB39">
        <v>-400</v>
      </c>
      <c r="AC39">
        <v>20857.142857142855</v>
      </c>
      <c r="AD39" t="s">
        <v>140</v>
      </c>
      <c r="AE39" t="s">
        <v>40</v>
      </c>
      <c r="AF39" t="s">
        <v>41</v>
      </c>
      <c r="AG39">
        <v>6</v>
      </c>
      <c r="AH39" t="s">
        <v>338</v>
      </c>
    </row>
    <row r="40" spans="1:34" x14ac:dyDescent="0.2">
      <c r="A40">
        <v>221113</v>
      </c>
      <c r="B40" t="s">
        <v>138</v>
      </c>
      <c r="C40">
        <v>11.376623376623376</v>
      </c>
      <c r="D40" t="s">
        <v>398</v>
      </c>
      <c r="E40" t="s">
        <v>399</v>
      </c>
      <c r="F40">
        <v>1.0547945205479452</v>
      </c>
      <c r="I40">
        <v>10</v>
      </c>
      <c r="K40">
        <v>79</v>
      </c>
      <c r="L40">
        <v>1</v>
      </c>
      <c r="M40">
        <v>5</v>
      </c>
      <c r="N40">
        <v>5</v>
      </c>
      <c r="O40">
        <v>12</v>
      </c>
      <c r="Q40">
        <v>1</v>
      </c>
      <c r="T40" t="s">
        <v>45</v>
      </c>
      <c r="U40" t="s">
        <v>65</v>
      </c>
      <c r="V40" t="s">
        <v>47</v>
      </c>
      <c r="W40" t="s">
        <v>36</v>
      </c>
      <c r="X40" t="s">
        <v>37</v>
      </c>
      <c r="Y40" t="s">
        <v>37</v>
      </c>
      <c r="AA40">
        <v>11.376623376623376</v>
      </c>
      <c r="AB40">
        <v>12</v>
      </c>
      <c r="AC40">
        <v>11.376623376623376</v>
      </c>
      <c r="AD40" t="s">
        <v>139</v>
      </c>
      <c r="AE40" t="s">
        <v>40</v>
      </c>
      <c r="AF40" t="s">
        <v>41</v>
      </c>
      <c r="AG40">
        <v>2</v>
      </c>
      <c r="AH40" t="s">
        <v>331</v>
      </c>
    </row>
    <row r="41" spans="1:34" x14ac:dyDescent="0.2">
      <c r="A41">
        <v>221060</v>
      </c>
      <c r="B41" t="s">
        <v>141</v>
      </c>
      <c r="C41">
        <v>50.460829493087559</v>
      </c>
      <c r="D41" t="s">
        <v>361</v>
      </c>
      <c r="E41" t="s">
        <v>362</v>
      </c>
      <c r="F41">
        <v>1.7835616438356163</v>
      </c>
      <c r="I41">
        <v>3</v>
      </c>
      <c r="J41">
        <v>2</v>
      </c>
      <c r="K41">
        <v>5</v>
      </c>
      <c r="L41">
        <v>2.9090909090909092</v>
      </c>
      <c r="M41">
        <v>1</v>
      </c>
      <c r="N41">
        <v>1</v>
      </c>
      <c r="O41">
        <v>90</v>
      </c>
      <c r="Q41">
        <v>2</v>
      </c>
      <c r="T41" t="s">
        <v>64</v>
      </c>
      <c r="U41" t="s">
        <v>65</v>
      </c>
      <c r="V41" t="s">
        <v>47</v>
      </c>
      <c r="W41" t="s">
        <v>36</v>
      </c>
      <c r="X41" t="s">
        <v>37</v>
      </c>
      <c r="Y41" t="s">
        <v>37</v>
      </c>
      <c r="AA41">
        <v>50.460829493087559</v>
      </c>
      <c r="AB41">
        <v>90</v>
      </c>
      <c r="AC41">
        <v>50.460829493087559</v>
      </c>
      <c r="AD41" t="s">
        <v>142</v>
      </c>
      <c r="AE41" t="s">
        <v>40</v>
      </c>
      <c r="AF41" t="s">
        <v>41</v>
      </c>
      <c r="AG41">
        <v>7</v>
      </c>
      <c r="AH41" t="s">
        <v>332</v>
      </c>
    </row>
    <row r="42" spans="1:34" x14ac:dyDescent="0.2">
      <c r="A42">
        <v>221041</v>
      </c>
      <c r="B42" t="s">
        <v>143</v>
      </c>
      <c r="C42">
        <v>156.42857142857144</v>
      </c>
      <c r="D42" t="s">
        <v>369</v>
      </c>
      <c r="E42" t="s">
        <v>400</v>
      </c>
      <c r="F42">
        <v>0.19178082191780821</v>
      </c>
      <c r="I42">
        <v>9</v>
      </c>
      <c r="K42">
        <v>64</v>
      </c>
      <c r="L42">
        <v>1</v>
      </c>
      <c r="M42">
        <v>1.5</v>
      </c>
      <c r="N42">
        <v>3.3</v>
      </c>
      <c r="O42">
        <v>30</v>
      </c>
      <c r="Q42">
        <v>1</v>
      </c>
      <c r="T42" t="s">
        <v>144</v>
      </c>
      <c r="U42" t="s">
        <v>65</v>
      </c>
      <c r="V42" t="s">
        <v>145</v>
      </c>
      <c r="W42" t="s">
        <v>36</v>
      </c>
      <c r="X42" t="s">
        <v>53</v>
      </c>
      <c r="Y42" t="s">
        <v>121</v>
      </c>
      <c r="Z42" t="s">
        <v>38</v>
      </c>
      <c r="AA42">
        <v>-156.42857142857144</v>
      </c>
      <c r="AB42">
        <v>-30</v>
      </c>
      <c r="AC42">
        <v>156.42857142857144</v>
      </c>
      <c r="AD42" t="s">
        <v>146</v>
      </c>
      <c r="AE42" t="s">
        <v>40</v>
      </c>
      <c r="AF42" t="s">
        <v>41</v>
      </c>
      <c r="AG42">
        <v>6</v>
      </c>
      <c r="AH42" t="s">
        <v>332</v>
      </c>
    </row>
    <row r="43" spans="1:34" x14ac:dyDescent="0.2">
      <c r="A43">
        <v>353030</v>
      </c>
      <c r="B43" t="s">
        <v>147</v>
      </c>
      <c r="C43">
        <v>3.3333333333333335</v>
      </c>
      <c r="D43" t="s">
        <v>355</v>
      </c>
      <c r="E43" t="s">
        <v>352</v>
      </c>
      <c r="F43">
        <v>6</v>
      </c>
      <c r="I43">
        <v>11</v>
      </c>
      <c r="K43">
        <v>95</v>
      </c>
      <c r="L43">
        <v>1</v>
      </c>
      <c r="M43">
        <v>2</v>
      </c>
      <c r="N43">
        <v>3</v>
      </c>
      <c r="O43">
        <v>20</v>
      </c>
      <c r="Q43">
        <v>1</v>
      </c>
      <c r="T43" t="s">
        <v>60</v>
      </c>
      <c r="U43" t="s">
        <v>61</v>
      </c>
      <c r="V43" t="s">
        <v>47</v>
      </c>
      <c r="W43" t="s">
        <v>36</v>
      </c>
      <c r="X43" t="s">
        <v>37</v>
      </c>
      <c r="Y43" t="s">
        <v>37</v>
      </c>
      <c r="Z43" t="s">
        <v>38</v>
      </c>
      <c r="AA43">
        <v>3.3333333333333335</v>
      </c>
      <c r="AB43">
        <v>20</v>
      </c>
      <c r="AC43">
        <v>3.3333333333333335</v>
      </c>
      <c r="AD43" t="s">
        <v>148</v>
      </c>
      <c r="AE43" t="s">
        <v>40</v>
      </c>
      <c r="AF43" t="s">
        <v>41</v>
      </c>
      <c r="AG43">
        <v>1</v>
      </c>
      <c r="AH43" t="s">
        <v>329</v>
      </c>
    </row>
    <row r="44" spans="1:34" x14ac:dyDescent="0.2">
      <c r="A44">
        <v>312020</v>
      </c>
      <c r="B44" t="s">
        <v>149</v>
      </c>
      <c r="C44">
        <v>0.8</v>
      </c>
      <c r="D44" t="s">
        <v>357</v>
      </c>
      <c r="E44" t="s">
        <v>356</v>
      </c>
      <c r="F44">
        <v>16</v>
      </c>
      <c r="I44">
        <v>8</v>
      </c>
      <c r="K44">
        <v>50</v>
      </c>
      <c r="L44">
        <v>1</v>
      </c>
      <c r="M44">
        <v>7</v>
      </c>
      <c r="N44">
        <v>7</v>
      </c>
      <c r="O44">
        <v>12.8</v>
      </c>
      <c r="Q44">
        <v>1</v>
      </c>
      <c r="S44" t="s">
        <v>44</v>
      </c>
      <c r="T44" t="s">
        <v>33</v>
      </c>
      <c r="U44" t="s">
        <v>34</v>
      </c>
      <c r="V44" t="s">
        <v>35</v>
      </c>
      <c r="X44" t="s">
        <v>50</v>
      </c>
      <c r="Y44" t="s">
        <v>51</v>
      </c>
      <c r="Z44" t="s">
        <v>71</v>
      </c>
      <c r="AA44">
        <v>-0.8</v>
      </c>
      <c r="AB44">
        <v>-12.8</v>
      </c>
      <c r="AC44">
        <v>0.8</v>
      </c>
      <c r="AD44" t="s">
        <v>150</v>
      </c>
      <c r="AE44" t="s">
        <v>40</v>
      </c>
      <c r="AF44" t="s">
        <v>41</v>
      </c>
      <c r="AG44">
        <v>4</v>
      </c>
      <c r="AH44" t="s">
        <v>329</v>
      </c>
    </row>
    <row r="45" spans="1:34" x14ac:dyDescent="0.2">
      <c r="A45">
        <v>211060</v>
      </c>
      <c r="B45" t="s">
        <v>151</v>
      </c>
      <c r="C45">
        <v>3.25</v>
      </c>
      <c r="D45" t="s">
        <v>360</v>
      </c>
      <c r="E45">
        <v>2005</v>
      </c>
      <c r="F45">
        <v>4</v>
      </c>
      <c r="I45">
        <v>8</v>
      </c>
      <c r="K45">
        <v>50</v>
      </c>
      <c r="L45">
        <v>1</v>
      </c>
      <c r="M45">
        <v>4.5</v>
      </c>
      <c r="N45">
        <v>4.5</v>
      </c>
      <c r="O45">
        <v>13</v>
      </c>
      <c r="Q45">
        <v>2</v>
      </c>
      <c r="T45" t="s">
        <v>87</v>
      </c>
      <c r="U45" t="s">
        <v>34</v>
      </c>
      <c r="V45" t="s">
        <v>124</v>
      </c>
      <c r="W45" t="s">
        <v>36</v>
      </c>
      <c r="X45" t="s">
        <v>50</v>
      </c>
      <c r="Y45" t="s">
        <v>51</v>
      </c>
      <c r="Z45" t="s">
        <v>98</v>
      </c>
      <c r="AA45">
        <v>-3.25</v>
      </c>
      <c r="AB45">
        <v>-13</v>
      </c>
      <c r="AC45">
        <v>3.25</v>
      </c>
      <c r="AD45" t="s">
        <v>153</v>
      </c>
      <c r="AE45" t="s">
        <v>40</v>
      </c>
      <c r="AF45" t="s">
        <v>41</v>
      </c>
      <c r="AG45">
        <v>4</v>
      </c>
      <c r="AH45" t="s">
        <v>332</v>
      </c>
    </row>
    <row r="46" spans="1:34" x14ac:dyDescent="0.2">
      <c r="A46">
        <v>211060</v>
      </c>
      <c r="B46" t="s">
        <v>151</v>
      </c>
      <c r="C46">
        <v>1</v>
      </c>
      <c r="D46" t="s">
        <v>357</v>
      </c>
      <c r="E46">
        <v>2000</v>
      </c>
      <c r="F46">
        <v>7</v>
      </c>
      <c r="I46">
        <v>18</v>
      </c>
      <c r="K46">
        <v>254</v>
      </c>
      <c r="L46">
        <v>1</v>
      </c>
      <c r="M46">
        <v>4.5</v>
      </c>
      <c r="N46">
        <v>4.5</v>
      </c>
      <c r="O46">
        <v>7</v>
      </c>
      <c r="Q46">
        <v>2</v>
      </c>
      <c r="S46" t="s">
        <v>112</v>
      </c>
      <c r="T46" t="s">
        <v>87</v>
      </c>
      <c r="U46" t="s">
        <v>34</v>
      </c>
      <c r="V46" t="s">
        <v>124</v>
      </c>
      <c r="X46" t="s">
        <v>37</v>
      </c>
      <c r="Y46" t="s">
        <v>37</v>
      </c>
      <c r="Z46" t="s">
        <v>98</v>
      </c>
      <c r="AA46">
        <v>1</v>
      </c>
      <c r="AB46">
        <v>7</v>
      </c>
      <c r="AC46">
        <v>1</v>
      </c>
      <c r="AD46" t="s">
        <v>152</v>
      </c>
      <c r="AE46" t="s">
        <v>40</v>
      </c>
      <c r="AF46" t="s">
        <v>41</v>
      </c>
      <c r="AG46">
        <v>1</v>
      </c>
      <c r="AH46" t="s">
        <v>333</v>
      </c>
    </row>
    <row r="47" spans="1:34" x14ac:dyDescent="0.2">
      <c r="A47">
        <v>372020</v>
      </c>
      <c r="B47" t="s">
        <v>154</v>
      </c>
      <c r="C47">
        <v>44.512195121951223</v>
      </c>
      <c r="D47" t="s">
        <v>401</v>
      </c>
      <c r="E47" t="s">
        <v>402</v>
      </c>
      <c r="F47">
        <v>0.78630136986301369</v>
      </c>
      <c r="I47">
        <v>20</v>
      </c>
      <c r="K47">
        <v>314</v>
      </c>
      <c r="L47">
        <v>1</v>
      </c>
      <c r="M47">
        <v>6.3</v>
      </c>
      <c r="N47">
        <v>6.3</v>
      </c>
      <c r="O47">
        <v>35</v>
      </c>
      <c r="Q47">
        <v>2</v>
      </c>
      <c r="T47" t="s">
        <v>45</v>
      </c>
      <c r="U47" t="s">
        <v>61</v>
      </c>
      <c r="V47" t="s">
        <v>47</v>
      </c>
      <c r="W47" t="s">
        <v>36</v>
      </c>
      <c r="X47" t="s">
        <v>37</v>
      </c>
      <c r="Y47" t="s">
        <v>37</v>
      </c>
      <c r="Z47" t="s">
        <v>38</v>
      </c>
      <c r="AA47">
        <v>44.512195121951223</v>
      </c>
      <c r="AB47">
        <v>35</v>
      </c>
      <c r="AC47">
        <v>44.512195121951223</v>
      </c>
      <c r="AD47" t="s">
        <v>156</v>
      </c>
      <c r="AE47" t="s">
        <v>40</v>
      </c>
      <c r="AF47" t="s">
        <v>41</v>
      </c>
      <c r="AG47">
        <v>2</v>
      </c>
      <c r="AH47" t="s">
        <v>333</v>
      </c>
    </row>
    <row r="48" spans="1:34" x14ac:dyDescent="0.2">
      <c r="A48">
        <v>372020</v>
      </c>
      <c r="B48" t="s">
        <v>154</v>
      </c>
      <c r="C48">
        <v>8.1473214285714288</v>
      </c>
      <c r="D48" t="s">
        <v>403</v>
      </c>
      <c r="E48" t="s">
        <v>404</v>
      </c>
      <c r="F48">
        <v>1.8410958904109589</v>
      </c>
      <c r="I48">
        <v>22</v>
      </c>
      <c r="K48">
        <v>380</v>
      </c>
      <c r="L48">
        <v>1.24</v>
      </c>
      <c r="M48">
        <v>4.5</v>
      </c>
      <c r="N48">
        <v>6</v>
      </c>
      <c r="O48">
        <v>15</v>
      </c>
      <c r="Q48">
        <v>2</v>
      </c>
      <c r="T48" t="s">
        <v>45</v>
      </c>
      <c r="U48" t="s">
        <v>61</v>
      </c>
      <c r="V48" t="s">
        <v>47</v>
      </c>
      <c r="W48" t="s">
        <v>36</v>
      </c>
      <c r="X48" t="s">
        <v>37</v>
      </c>
      <c r="Y48" t="s">
        <v>37</v>
      </c>
      <c r="Z48" t="s">
        <v>38</v>
      </c>
      <c r="AA48">
        <v>8.1473214285714288</v>
      </c>
      <c r="AB48">
        <v>15</v>
      </c>
      <c r="AC48">
        <v>8.1473214285714288</v>
      </c>
      <c r="AD48" t="s">
        <v>155</v>
      </c>
      <c r="AE48" t="s">
        <v>40</v>
      </c>
      <c r="AF48" t="s">
        <v>41</v>
      </c>
      <c r="AG48">
        <v>1</v>
      </c>
      <c r="AH48" t="s">
        <v>333</v>
      </c>
    </row>
    <row r="49" spans="1:34" x14ac:dyDescent="0.2">
      <c r="A49">
        <v>353010</v>
      </c>
      <c r="B49" t="s">
        <v>157</v>
      </c>
      <c r="C49">
        <v>25</v>
      </c>
      <c r="D49" t="s">
        <v>374</v>
      </c>
      <c r="E49" t="s">
        <v>386</v>
      </c>
      <c r="F49">
        <v>1</v>
      </c>
      <c r="I49">
        <v>11</v>
      </c>
      <c r="K49">
        <v>95</v>
      </c>
      <c r="L49">
        <v>1</v>
      </c>
      <c r="M49">
        <v>1</v>
      </c>
      <c r="N49">
        <v>4</v>
      </c>
      <c r="O49">
        <v>25</v>
      </c>
      <c r="Q49">
        <v>2</v>
      </c>
      <c r="T49" t="s">
        <v>60</v>
      </c>
      <c r="U49" t="s">
        <v>61</v>
      </c>
      <c r="V49" t="s">
        <v>47</v>
      </c>
      <c r="W49" t="s">
        <v>36</v>
      </c>
      <c r="X49" t="s">
        <v>37</v>
      </c>
      <c r="Y49" t="s">
        <v>37</v>
      </c>
      <c r="Z49" t="s">
        <v>38</v>
      </c>
      <c r="AA49">
        <v>25</v>
      </c>
      <c r="AB49">
        <v>25</v>
      </c>
      <c r="AC49">
        <v>25</v>
      </c>
      <c r="AD49" t="s">
        <v>160</v>
      </c>
      <c r="AE49" t="s">
        <v>40</v>
      </c>
      <c r="AF49" t="s">
        <v>41</v>
      </c>
      <c r="AG49">
        <v>2</v>
      </c>
      <c r="AH49" t="s">
        <v>329</v>
      </c>
    </row>
    <row r="50" spans="1:34" x14ac:dyDescent="0.2">
      <c r="A50">
        <v>353010</v>
      </c>
      <c r="B50" t="s">
        <v>157</v>
      </c>
      <c r="C50">
        <v>8.5</v>
      </c>
      <c r="D50" t="s">
        <v>376</v>
      </c>
      <c r="E50" t="s">
        <v>374</v>
      </c>
      <c r="F50">
        <v>2</v>
      </c>
      <c r="I50">
        <v>6</v>
      </c>
      <c r="K50">
        <v>28.274333882308138</v>
      </c>
      <c r="L50">
        <v>1</v>
      </c>
      <c r="M50">
        <v>1</v>
      </c>
      <c r="N50">
        <v>6</v>
      </c>
      <c r="O50">
        <v>17</v>
      </c>
      <c r="Q50">
        <v>2</v>
      </c>
      <c r="T50" t="s">
        <v>60</v>
      </c>
      <c r="U50" t="s">
        <v>61</v>
      </c>
      <c r="V50" t="s">
        <v>47</v>
      </c>
      <c r="W50" t="s">
        <v>36</v>
      </c>
      <c r="X50" t="s">
        <v>37</v>
      </c>
      <c r="Y50" t="s">
        <v>37</v>
      </c>
      <c r="Z50" t="s">
        <v>38</v>
      </c>
      <c r="AA50">
        <v>8.5</v>
      </c>
      <c r="AB50">
        <v>17</v>
      </c>
      <c r="AC50">
        <v>8.5</v>
      </c>
      <c r="AD50" t="s">
        <v>158</v>
      </c>
      <c r="AE50" t="s">
        <v>40</v>
      </c>
      <c r="AF50" t="s">
        <v>41</v>
      </c>
      <c r="AG50">
        <v>2</v>
      </c>
      <c r="AH50" t="s">
        <v>329</v>
      </c>
    </row>
    <row r="51" spans="1:34" x14ac:dyDescent="0.2">
      <c r="A51">
        <v>353010</v>
      </c>
      <c r="B51" t="s">
        <v>157</v>
      </c>
      <c r="C51">
        <v>16.824837310195228</v>
      </c>
      <c r="D51" t="s">
        <v>405</v>
      </c>
      <c r="E51" t="s">
        <v>406</v>
      </c>
      <c r="F51">
        <v>5.0520547945205481</v>
      </c>
      <c r="H51">
        <v>6</v>
      </c>
      <c r="I51">
        <v>5</v>
      </c>
      <c r="K51">
        <v>19.634954084936208</v>
      </c>
      <c r="L51">
        <v>1</v>
      </c>
      <c r="M51">
        <v>1</v>
      </c>
      <c r="N51">
        <v>1</v>
      </c>
      <c r="O51">
        <v>85</v>
      </c>
      <c r="Q51">
        <v>2</v>
      </c>
      <c r="T51" t="s">
        <v>60</v>
      </c>
      <c r="U51" t="s">
        <v>61</v>
      </c>
      <c r="V51" t="s">
        <v>47</v>
      </c>
      <c r="W51" t="s">
        <v>36</v>
      </c>
      <c r="X51" t="s">
        <v>37</v>
      </c>
      <c r="Y51" t="s">
        <v>37</v>
      </c>
      <c r="Z51" t="s">
        <v>98</v>
      </c>
      <c r="AA51">
        <v>16.824837310195228</v>
      </c>
      <c r="AB51">
        <v>85</v>
      </c>
      <c r="AC51">
        <v>16.824837310195228</v>
      </c>
      <c r="AD51" t="s">
        <v>159</v>
      </c>
      <c r="AE51" t="s">
        <v>40</v>
      </c>
      <c r="AF51" t="s">
        <v>41</v>
      </c>
      <c r="AG51">
        <v>3</v>
      </c>
      <c r="AH51" t="s">
        <v>329</v>
      </c>
    </row>
    <row r="52" spans="1:34" x14ac:dyDescent="0.2">
      <c r="A52">
        <v>311350</v>
      </c>
      <c r="B52" t="s">
        <v>161</v>
      </c>
      <c r="C52">
        <v>1.5</v>
      </c>
      <c r="D52" t="s">
        <v>355</v>
      </c>
      <c r="E52" t="s">
        <v>371</v>
      </c>
      <c r="F52">
        <v>18</v>
      </c>
      <c r="I52">
        <v>12</v>
      </c>
      <c r="K52">
        <v>113</v>
      </c>
      <c r="L52">
        <v>1</v>
      </c>
      <c r="M52">
        <v>4.5</v>
      </c>
      <c r="N52">
        <v>8.5</v>
      </c>
      <c r="O52">
        <v>27</v>
      </c>
      <c r="Q52">
        <v>1</v>
      </c>
      <c r="S52" t="s">
        <v>44</v>
      </c>
      <c r="T52" t="s">
        <v>45</v>
      </c>
      <c r="U52" t="s">
        <v>34</v>
      </c>
      <c r="V52" t="s">
        <v>35</v>
      </c>
      <c r="X52" t="s">
        <v>50</v>
      </c>
      <c r="Y52" t="s">
        <v>51</v>
      </c>
      <c r="Z52" t="s">
        <v>48</v>
      </c>
      <c r="AA52">
        <v>-1.5</v>
      </c>
      <c r="AB52">
        <v>-27</v>
      </c>
      <c r="AC52">
        <v>1.5</v>
      </c>
      <c r="AD52" t="s">
        <v>162</v>
      </c>
      <c r="AE52" t="s">
        <v>40</v>
      </c>
      <c r="AF52" t="s">
        <v>41</v>
      </c>
      <c r="AG52">
        <v>4</v>
      </c>
      <c r="AH52" t="s">
        <v>329</v>
      </c>
    </row>
    <row r="53" spans="1:34" x14ac:dyDescent="0.2">
      <c r="A53">
        <v>312260</v>
      </c>
      <c r="B53" t="s">
        <v>165</v>
      </c>
      <c r="C53">
        <v>1.2</v>
      </c>
      <c r="D53" t="s">
        <v>374</v>
      </c>
      <c r="E53" t="s">
        <v>371</v>
      </c>
      <c r="F53">
        <v>5</v>
      </c>
      <c r="H53">
        <v>7</v>
      </c>
      <c r="I53">
        <v>15</v>
      </c>
      <c r="K53">
        <v>177</v>
      </c>
      <c r="L53">
        <v>1</v>
      </c>
      <c r="M53">
        <v>7</v>
      </c>
      <c r="N53">
        <v>7</v>
      </c>
      <c r="O53">
        <v>6</v>
      </c>
      <c r="Q53">
        <v>1</v>
      </c>
      <c r="T53" t="s">
        <v>45</v>
      </c>
      <c r="U53" t="s">
        <v>34</v>
      </c>
      <c r="V53" t="s">
        <v>35</v>
      </c>
      <c r="W53" t="s">
        <v>36</v>
      </c>
      <c r="X53" t="s">
        <v>37</v>
      </c>
      <c r="Y53" t="s">
        <v>37</v>
      </c>
      <c r="AA53">
        <v>1.2</v>
      </c>
      <c r="AB53">
        <v>6</v>
      </c>
      <c r="AC53">
        <v>1.2</v>
      </c>
      <c r="AD53" t="s">
        <v>166</v>
      </c>
      <c r="AE53" t="s">
        <v>40</v>
      </c>
      <c r="AF53" t="s">
        <v>41</v>
      </c>
      <c r="AG53">
        <v>1</v>
      </c>
      <c r="AH53" t="s">
        <v>333</v>
      </c>
    </row>
    <row r="54" spans="1:34" x14ac:dyDescent="0.2">
      <c r="A54">
        <v>221050</v>
      </c>
      <c r="B54" t="s">
        <v>167</v>
      </c>
      <c r="C54">
        <v>4.112676056338028</v>
      </c>
      <c r="D54" t="s">
        <v>407</v>
      </c>
      <c r="E54" t="s">
        <v>408</v>
      </c>
      <c r="F54">
        <v>2.9178082191780823</v>
      </c>
      <c r="I54">
        <v>5</v>
      </c>
      <c r="K54">
        <v>20</v>
      </c>
      <c r="L54">
        <v>1.5</v>
      </c>
      <c r="M54">
        <v>1</v>
      </c>
      <c r="N54">
        <v>1</v>
      </c>
      <c r="O54">
        <v>12</v>
      </c>
      <c r="Q54">
        <v>1</v>
      </c>
      <c r="T54" t="s">
        <v>45</v>
      </c>
      <c r="U54" t="s">
        <v>65</v>
      </c>
      <c r="V54" t="s">
        <v>47</v>
      </c>
      <c r="W54" t="s">
        <v>36</v>
      </c>
      <c r="X54" t="s">
        <v>50</v>
      </c>
      <c r="Y54" t="s">
        <v>51</v>
      </c>
      <c r="Z54" t="s">
        <v>38</v>
      </c>
      <c r="AA54">
        <v>-4.112676056338028</v>
      </c>
      <c r="AB54">
        <v>-12</v>
      </c>
      <c r="AC54">
        <v>4.112676056338028</v>
      </c>
      <c r="AD54" t="s">
        <v>168</v>
      </c>
      <c r="AE54" t="s">
        <v>40</v>
      </c>
      <c r="AF54" t="s">
        <v>41</v>
      </c>
      <c r="AG54">
        <v>5</v>
      </c>
      <c r="AH54" t="s">
        <v>336</v>
      </c>
    </row>
    <row r="55" spans="1:34" x14ac:dyDescent="0.2">
      <c r="A55">
        <v>351080</v>
      </c>
      <c r="B55" t="s">
        <v>169</v>
      </c>
      <c r="C55">
        <v>22.217391304347824</v>
      </c>
      <c r="D55" t="s">
        <v>409</v>
      </c>
      <c r="E55" t="s">
        <v>410</v>
      </c>
      <c r="F55">
        <v>0.12602739726027398</v>
      </c>
      <c r="I55">
        <v>5</v>
      </c>
      <c r="K55">
        <v>20</v>
      </c>
      <c r="L55">
        <v>1</v>
      </c>
      <c r="M55">
        <v>2</v>
      </c>
      <c r="N55">
        <v>2</v>
      </c>
      <c r="O55">
        <v>2.8</v>
      </c>
      <c r="Q55">
        <v>2</v>
      </c>
      <c r="T55" t="s">
        <v>82</v>
      </c>
      <c r="U55" t="s">
        <v>34</v>
      </c>
      <c r="V55" t="s">
        <v>35</v>
      </c>
      <c r="W55" t="s">
        <v>36</v>
      </c>
      <c r="X55" t="s">
        <v>50</v>
      </c>
      <c r="Y55" t="s">
        <v>51</v>
      </c>
      <c r="Z55" t="s">
        <v>98</v>
      </c>
      <c r="AA55">
        <v>-22.217391304347824</v>
      </c>
      <c r="AB55">
        <v>-2.8</v>
      </c>
      <c r="AC55">
        <v>22.217391304347824</v>
      </c>
      <c r="AD55" t="s">
        <v>170</v>
      </c>
      <c r="AE55" t="s">
        <v>40</v>
      </c>
      <c r="AF55" t="s">
        <v>41</v>
      </c>
      <c r="AG55">
        <v>6</v>
      </c>
      <c r="AH55" t="s">
        <v>334</v>
      </c>
    </row>
    <row r="56" spans="1:34" x14ac:dyDescent="0.2">
      <c r="A56">
        <v>372070</v>
      </c>
      <c r="B56" t="s">
        <v>171</v>
      </c>
      <c r="C56">
        <v>0.5</v>
      </c>
      <c r="D56" t="s">
        <v>358</v>
      </c>
      <c r="E56" t="s">
        <v>395</v>
      </c>
      <c r="F56">
        <v>8</v>
      </c>
      <c r="I56">
        <v>40</v>
      </c>
      <c r="J56">
        <v>10.002888173325623</v>
      </c>
      <c r="K56">
        <v>1257</v>
      </c>
      <c r="L56">
        <v>1</v>
      </c>
      <c r="M56">
        <v>14</v>
      </c>
      <c r="N56">
        <v>20</v>
      </c>
      <c r="O56">
        <v>4</v>
      </c>
      <c r="Q56">
        <v>2</v>
      </c>
      <c r="S56" t="s">
        <v>84</v>
      </c>
      <c r="T56" t="s">
        <v>45</v>
      </c>
      <c r="U56" t="s">
        <v>61</v>
      </c>
      <c r="V56" t="s">
        <v>35</v>
      </c>
      <c r="X56" t="s">
        <v>37</v>
      </c>
      <c r="Y56" t="s">
        <v>37</v>
      </c>
      <c r="Z56" t="s">
        <v>38</v>
      </c>
      <c r="AA56">
        <v>0.5</v>
      </c>
      <c r="AB56">
        <v>4</v>
      </c>
      <c r="AC56">
        <v>0.5</v>
      </c>
      <c r="AD56" t="s">
        <v>173</v>
      </c>
      <c r="AE56" t="s">
        <v>40</v>
      </c>
      <c r="AF56" t="s">
        <v>41</v>
      </c>
      <c r="AG56">
        <v>1</v>
      </c>
      <c r="AH56" t="s">
        <v>332</v>
      </c>
    </row>
    <row r="57" spans="1:34" x14ac:dyDescent="0.2">
      <c r="A57">
        <v>372070</v>
      </c>
      <c r="B57" t="s">
        <v>171</v>
      </c>
      <c r="C57">
        <v>0.5</v>
      </c>
      <c r="D57" t="s">
        <v>411</v>
      </c>
      <c r="E57" t="s">
        <v>358</v>
      </c>
      <c r="F57">
        <v>9</v>
      </c>
      <c r="I57">
        <v>40</v>
      </c>
      <c r="J57">
        <v>10.002888173325623</v>
      </c>
      <c r="K57">
        <v>1257</v>
      </c>
      <c r="L57">
        <v>1</v>
      </c>
      <c r="M57">
        <v>14</v>
      </c>
      <c r="N57">
        <v>20</v>
      </c>
      <c r="O57">
        <v>4.5</v>
      </c>
      <c r="Q57">
        <v>2</v>
      </c>
      <c r="S57" t="s">
        <v>84</v>
      </c>
      <c r="T57" t="s">
        <v>45</v>
      </c>
      <c r="U57" t="s">
        <v>61</v>
      </c>
      <c r="V57" t="s">
        <v>35</v>
      </c>
      <c r="X57" t="s">
        <v>37</v>
      </c>
      <c r="Y57" t="s">
        <v>37</v>
      </c>
      <c r="Z57" t="s">
        <v>38</v>
      </c>
      <c r="AA57">
        <v>0.5</v>
      </c>
      <c r="AB57">
        <v>4.5</v>
      </c>
      <c r="AC57">
        <v>0.5</v>
      </c>
      <c r="AD57" t="s">
        <v>172</v>
      </c>
      <c r="AE57" t="s">
        <v>40</v>
      </c>
      <c r="AF57" t="s">
        <v>41</v>
      </c>
      <c r="AG57">
        <v>1</v>
      </c>
      <c r="AH57" t="s">
        <v>332</v>
      </c>
    </row>
    <row r="58" spans="1:34" x14ac:dyDescent="0.2">
      <c r="A58">
        <v>221171</v>
      </c>
      <c r="B58" t="s">
        <v>175</v>
      </c>
      <c r="C58">
        <v>6.9604651162790692</v>
      </c>
      <c r="D58" t="s">
        <v>412</v>
      </c>
      <c r="E58" t="s">
        <v>413</v>
      </c>
      <c r="F58">
        <v>0.58904109589041098</v>
      </c>
      <c r="H58">
        <v>10</v>
      </c>
      <c r="I58">
        <v>8</v>
      </c>
      <c r="J58">
        <v>6</v>
      </c>
      <c r="K58">
        <v>38</v>
      </c>
      <c r="L58">
        <v>1.3333333333333333</v>
      </c>
      <c r="M58">
        <v>3</v>
      </c>
      <c r="N58">
        <v>8</v>
      </c>
      <c r="O58">
        <v>4.0999999999999996</v>
      </c>
      <c r="Q58">
        <v>1</v>
      </c>
      <c r="T58" t="s">
        <v>176</v>
      </c>
      <c r="U58" t="s">
        <v>176</v>
      </c>
      <c r="V58" t="s">
        <v>176</v>
      </c>
      <c r="W58" t="s">
        <v>36</v>
      </c>
      <c r="X58" t="s">
        <v>37</v>
      </c>
      <c r="Y58" t="s">
        <v>37</v>
      </c>
      <c r="Z58" t="s">
        <v>38</v>
      </c>
      <c r="AA58">
        <v>6.9604651162790692</v>
      </c>
      <c r="AB58">
        <v>4.0999999999999996</v>
      </c>
      <c r="AC58">
        <v>6.9604651162790692</v>
      </c>
      <c r="AD58" t="s">
        <v>178</v>
      </c>
      <c r="AE58" t="s">
        <v>40</v>
      </c>
      <c r="AF58" t="s">
        <v>41</v>
      </c>
      <c r="AG58">
        <v>2</v>
      </c>
      <c r="AH58" t="s">
        <v>336</v>
      </c>
    </row>
    <row r="59" spans="1:34" x14ac:dyDescent="0.2">
      <c r="A59">
        <v>221171</v>
      </c>
      <c r="B59" t="s">
        <v>175</v>
      </c>
      <c r="C59">
        <v>2.1611842105263159</v>
      </c>
      <c r="D59" t="s">
        <v>413</v>
      </c>
      <c r="E59" t="s">
        <v>414</v>
      </c>
      <c r="F59">
        <v>2.4986301369863013</v>
      </c>
      <c r="H59">
        <v>10</v>
      </c>
      <c r="I59">
        <v>8</v>
      </c>
      <c r="J59">
        <v>6</v>
      </c>
      <c r="K59">
        <v>38</v>
      </c>
      <c r="L59">
        <v>1.3333333333333333</v>
      </c>
      <c r="M59">
        <v>3</v>
      </c>
      <c r="N59">
        <v>8</v>
      </c>
      <c r="O59">
        <v>5.4</v>
      </c>
      <c r="Q59">
        <v>1</v>
      </c>
      <c r="T59" t="s">
        <v>176</v>
      </c>
      <c r="U59" t="s">
        <v>176</v>
      </c>
      <c r="V59" t="s">
        <v>176</v>
      </c>
      <c r="W59" t="s">
        <v>36</v>
      </c>
      <c r="X59" t="s">
        <v>50</v>
      </c>
      <c r="Y59" t="s">
        <v>51</v>
      </c>
      <c r="Z59" t="s">
        <v>38</v>
      </c>
      <c r="AA59">
        <v>-2.1611842105263159</v>
      </c>
      <c r="AB59">
        <v>-5.4</v>
      </c>
      <c r="AC59">
        <v>2.1611842105263159</v>
      </c>
      <c r="AD59" t="s">
        <v>177</v>
      </c>
      <c r="AE59" t="s">
        <v>40</v>
      </c>
      <c r="AF59" t="s">
        <v>41</v>
      </c>
      <c r="AG59">
        <v>4</v>
      </c>
      <c r="AH59" t="s">
        <v>336</v>
      </c>
    </row>
    <row r="60" spans="1:34" x14ac:dyDescent="0.2">
      <c r="A60">
        <v>383020</v>
      </c>
      <c r="B60" t="s">
        <v>179</v>
      </c>
      <c r="C60">
        <v>73</v>
      </c>
      <c r="D60" t="s">
        <v>415</v>
      </c>
      <c r="E60" t="s">
        <v>416</v>
      </c>
      <c r="F60">
        <v>0.16438356164383561</v>
      </c>
      <c r="I60">
        <v>20</v>
      </c>
      <c r="K60">
        <v>300</v>
      </c>
      <c r="L60">
        <v>1</v>
      </c>
      <c r="M60">
        <v>4.5</v>
      </c>
      <c r="N60">
        <v>9.5</v>
      </c>
      <c r="O60">
        <v>12</v>
      </c>
      <c r="Q60">
        <v>1</v>
      </c>
      <c r="T60" t="s">
        <v>60</v>
      </c>
      <c r="U60" t="s">
        <v>164</v>
      </c>
      <c r="V60" t="s">
        <v>124</v>
      </c>
      <c r="W60" t="s">
        <v>36</v>
      </c>
      <c r="X60" t="s">
        <v>37</v>
      </c>
      <c r="Y60" t="s">
        <v>37</v>
      </c>
      <c r="Z60" t="s">
        <v>38</v>
      </c>
      <c r="AA60">
        <v>73</v>
      </c>
      <c r="AB60">
        <v>12</v>
      </c>
      <c r="AC60">
        <v>73</v>
      </c>
      <c r="AD60" t="s">
        <v>181</v>
      </c>
      <c r="AE60" t="s">
        <v>40</v>
      </c>
      <c r="AF60" t="s">
        <v>41</v>
      </c>
      <c r="AG60">
        <v>2</v>
      </c>
      <c r="AH60" t="s">
        <v>331</v>
      </c>
    </row>
    <row r="61" spans="1:34" x14ac:dyDescent="0.2">
      <c r="A61">
        <v>383020</v>
      </c>
      <c r="B61" t="s">
        <v>179</v>
      </c>
      <c r="C61">
        <v>34.21875</v>
      </c>
      <c r="D61" t="s">
        <v>417</v>
      </c>
      <c r="E61" t="s">
        <v>418</v>
      </c>
      <c r="F61">
        <v>0.26301369863013696</v>
      </c>
      <c r="I61">
        <v>20</v>
      </c>
      <c r="K61">
        <v>300</v>
      </c>
      <c r="L61">
        <v>1</v>
      </c>
      <c r="M61">
        <v>4.5</v>
      </c>
      <c r="N61">
        <v>9.5</v>
      </c>
      <c r="O61">
        <v>9</v>
      </c>
      <c r="Q61">
        <v>1</v>
      </c>
      <c r="T61" t="s">
        <v>60</v>
      </c>
      <c r="U61" t="s">
        <v>164</v>
      </c>
      <c r="V61" t="s">
        <v>124</v>
      </c>
      <c r="W61" t="s">
        <v>36</v>
      </c>
      <c r="X61" t="s">
        <v>37</v>
      </c>
      <c r="Y61" t="s">
        <v>37</v>
      </c>
      <c r="Z61" t="s">
        <v>38</v>
      </c>
      <c r="AA61">
        <v>34.21875</v>
      </c>
      <c r="AB61">
        <v>9</v>
      </c>
      <c r="AC61">
        <v>34.21875</v>
      </c>
      <c r="AD61" t="s">
        <v>180</v>
      </c>
      <c r="AE61" t="s">
        <v>40</v>
      </c>
      <c r="AF61" t="s">
        <v>41</v>
      </c>
      <c r="AG61">
        <v>2</v>
      </c>
      <c r="AH61" t="s">
        <v>331</v>
      </c>
    </row>
    <row r="62" spans="1:34" x14ac:dyDescent="0.2">
      <c r="A62">
        <v>371051</v>
      </c>
      <c r="B62" t="s">
        <v>182</v>
      </c>
      <c r="C62">
        <v>2</v>
      </c>
      <c r="D62" t="s">
        <v>357</v>
      </c>
      <c r="E62" t="s">
        <v>352</v>
      </c>
      <c r="F62">
        <v>5</v>
      </c>
      <c r="I62">
        <v>10</v>
      </c>
      <c r="J62">
        <v>2.5146481008519466</v>
      </c>
      <c r="K62">
        <v>79</v>
      </c>
      <c r="L62">
        <v>1</v>
      </c>
      <c r="M62">
        <v>7</v>
      </c>
      <c r="N62">
        <v>7</v>
      </c>
      <c r="O62">
        <v>10</v>
      </c>
      <c r="Q62">
        <v>1</v>
      </c>
      <c r="S62" t="s">
        <v>84</v>
      </c>
      <c r="T62" t="s">
        <v>45</v>
      </c>
      <c r="U62" t="s">
        <v>61</v>
      </c>
      <c r="V62" t="s">
        <v>47</v>
      </c>
      <c r="X62" t="s">
        <v>53</v>
      </c>
      <c r="Y62" t="s">
        <v>174</v>
      </c>
      <c r="Z62" t="s">
        <v>38</v>
      </c>
      <c r="AA62">
        <v>2</v>
      </c>
      <c r="AB62">
        <v>10</v>
      </c>
      <c r="AC62">
        <v>2</v>
      </c>
      <c r="AD62" t="s">
        <v>183</v>
      </c>
      <c r="AE62" t="s">
        <v>40</v>
      </c>
      <c r="AF62" t="s">
        <v>41</v>
      </c>
      <c r="AG62">
        <v>1</v>
      </c>
      <c r="AH62" t="s">
        <v>333</v>
      </c>
    </row>
    <row r="63" spans="1:34" x14ac:dyDescent="0.2">
      <c r="A63">
        <v>358057</v>
      </c>
      <c r="B63" t="s">
        <v>184</v>
      </c>
      <c r="C63">
        <v>5</v>
      </c>
      <c r="D63" t="s">
        <v>357</v>
      </c>
      <c r="E63" t="s">
        <v>352</v>
      </c>
      <c r="F63">
        <v>5</v>
      </c>
      <c r="I63">
        <v>30</v>
      </c>
      <c r="J63">
        <v>7.5015029843980008</v>
      </c>
      <c r="K63">
        <v>707</v>
      </c>
      <c r="L63">
        <v>1</v>
      </c>
      <c r="M63">
        <v>4</v>
      </c>
      <c r="N63">
        <v>8</v>
      </c>
      <c r="O63">
        <v>25</v>
      </c>
      <c r="Q63">
        <v>2</v>
      </c>
      <c r="S63" t="s">
        <v>59</v>
      </c>
      <c r="T63" t="s">
        <v>45</v>
      </c>
      <c r="U63" t="s">
        <v>34</v>
      </c>
      <c r="V63" t="s">
        <v>47</v>
      </c>
      <c r="X63" t="s">
        <v>37</v>
      </c>
      <c r="Y63" t="s">
        <v>37</v>
      </c>
      <c r="Z63" t="s">
        <v>71</v>
      </c>
      <c r="AA63">
        <v>5</v>
      </c>
      <c r="AB63">
        <v>25</v>
      </c>
      <c r="AC63">
        <v>5</v>
      </c>
      <c r="AD63" t="s">
        <v>186</v>
      </c>
      <c r="AE63" t="s">
        <v>40</v>
      </c>
      <c r="AF63" t="s">
        <v>41</v>
      </c>
      <c r="AG63">
        <v>1</v>
      </c>
      <c r="AH63" t="s">
        <v>332</v>
      </c>
    </row>
    <row r="64" spans="1:34" x14ac:dyDescent="0.2">
      <c r="A64">
        <v>358057</v>
      </c>
      <c r="B64" t="s">
        <v>184</v>
      </c>
      <c r="C64">
        <v>3</v>
      </c>
      <c r="D64" t="s">
        <v>373</v>
      </c>
      <c r="E64" t="s">
        <v>396</v>
      </c>
      <c r="F64">
        <v>7</v>
      </c>
      <c r="I64">
        <v>31</v>
      </c>
      <c r="J64">
        <v>7.752385937701999</v>
      </c>
      <c r="K64">
        <v>755</v>
      </c>
      <c r="L64">
        <v>1</v>
      </c>
      <c r="M64">
        <v>4</v>
      </c>
      <c r="N64">
        <v>8</v>
      </c>
      <c r="O64">
        <v>21</v>
      </c>
      <c r="Q64">
        <v>2</v>
      </c>
      <c r="S64" t="s">
        <v>59</v>
      </c>
      <c r="T64" t="s">
        <v>45</v>
      </c>
      <c r="U64" t="s">
        <v>34</v>
      </c>
      <c r="V64" t="s">
        <v>47</v>
      </c>
      <c r="X64" t="s">
        <v>37</v>
      </c>
      <c r="Y64" t="s">
        <v>37</v>
      </c>
      <c r="Z64" t="s">
        <v>38</v>
      </c>
      <c r="AA64">
        <v>3</v>
      </c>
      <c r="AB64">
        <v>21</v>
      </c>
      <c r="AC64">
        <v>3</v>
      </c>
      <c r="AD64" t="s">
        <v>185</v>
      </c>
      <c r="AE64" t="s">
        <v>40</v>
      </c>
      <c r="AF64" t="s">
        <v>41</v>
      </c>
      <c r="AG64">
        <v>1</v>
      </c>
      <c r="AH64" t="s">
        <v>332</v>
      </c>
    </row>
    <row r="65" spans="1:34" x14ac:dyDescent="0.2">
      <c r="A65">
        <v>323120</v>
      </c>
      <c r="B65" t="s">
        <v>188</v>
      </c>
      <c r="C65">
        <v>1</v>
      </c>
      <c r="D65" t="s">
        <v>394</v>
      </c>
      <c r="E65" t="s">
        <v>376</v>
      </c>
      <c r="F65">
        <v>1</v>
      </c>
      <c r="I65">
        <v>30</v>
      </c>
      <c r="J65">
        <v>25</v>
      </c>
      <c r="K65">
        <v>589</v>
      </c>
      <c r="L65">
        <v>1.2</v>
      </c>
      <c r="M65">
        <v>4.5</v>
      </c>
      <c r="N65">
        <v>13.5</v>
      </c>
      <c r="O65">
        <v>1</v>
      </c>
      <c r="Q65">
        <v>1</v>
      </c>
      <c r="S65" t="s">
        <v>135</v>
      </c>
      <c r="T65" t="s">
        <v>96</v>
      </c>
      <c r="U65" t="s">
        <v>68</v>
      </c>
      <c r="V65" t="s">
        <v>69</v>
      </c>
      <c r="X65" t="s">
        <v>37</v>
      </c>
      <c r="Y65" t="s">
        <v>37</v>
      </c>
      <c r="Z65" t="s">
        <v>48</v>
      </c>
      <c r="AA65">
        <v>1</v>
      </c>
      <c r="AB65">
        <v>1</v>
      </c>
      <c r="AC65">
        <v>1</v>
      </c>
      <c r="AD65" t="s">
        <v>190</v>
      </c>
      <c r="AE65" t="s">
        <v>40</v>
      </c>
      <c r="AF65" t="s">
        <v>41</v>
      </c>
      <c r="AG65">
        <v>1</v>
      </c>
      <c r="AH65" t="s">
        <v>329</v>
      </c>
    </row>
    <row r="66" spans="1:34" x14ac:dyDescent="0.2">
      <c r="A66">
        <v>323120</v>
      </c>
      <c r="B66" t="s">
        <v>188</v>
      </c>
      <c r="C66">
        <v>18</v>
      </c>
      <c r="D66" t="s">
        <v>359</v>
      </c>
      <c r="E66" t="s">
        <v>352</v>
      </c>
      <c r="F66">
        <v>1</v>
      </c>
      <c r="I66">
        <v>30</v>
      </c>
      <c r="J66">
        <v>25</v>
      </c>
      <c r="K66">
        <v>589</v>
      </c>
      <c r="L66">
        <v>1.2</v>
      </c>
      <c r="M66">
        <v>6.6</v>
      </c>
      <c r="N66">
        <v>8.4</v>
      </c>
      <c r="O66">
        <v>18</v>
      </c>
      <c r="Q66">
        <v>1</v>
      </c>
      <c r="S66" t="s">
        <v>135</v>
      </c>
      <c r="T66" t="s">
        <v>96</v>
      </c>
      <c r="U66" t="s">
        <v>68</v>
      </c>
      <c r="V66" t="s">
        <v>69</v>
      </c>
      <c r="X66" t="s">
        <v>37</v>
      </c>
      <c r="Y66" t="s">
        <v>37</v>
      </c>
      <c r="Z66" t="s">
        <v>48</v>
      </c>
      <c r="AA66">
        <v>18</v>
      </c>
      <c r="AB66">
        <v>18</v>
      </c>
      <c r="AC66">
        <v>18</v>
      </c>
      <c r="AD66" t="s">
        <v>192</v>
      </c>
      <c r="AE66" t="s">
        <v>40</v>
      </c>
      <c r="AF66" t="s">
        <v>41</v>
      </c>
      <c r="AG66">
        <v>2</v>
      </c>
      <c r="AH66" t="s">
        <v>329</v>
      </c>
    </row>
    <row r="67" spans="1:34" x14ac:dyDescent="0.2">
      <c r="A67">
        <v>323120</v>
      </c>
      <c r="B67" t="s">
        <v>188</v>
      </c>
      <c r="C67">
        <v>1</v>
      </c>
      <c r="D67" t="s">
        <v>396</v>
      </c>
      <c r="E67" t="s">
        <v>419</v>
      </c>
      <c r="F67">
        <v>3</v>
      </c>
      <c r="I67">
        <v>30</v>
      </c>
      <c r="J67">
        <v>25</v>
      </c>
      <c r="K67">
        <v>589</v>
      </c>
      <c r="L67">
        <v>1.2</v>
      </c>
      <c r="M67">
        <v>7.2</v>
      </c>
      <c r="N67">
        <v>7.2</v>
      </c>
      <c r="O67">
        <v>3</v>
      </c>
      <c r="Q67">
        <v>1</v>
      </c>
      <c r="S67" t="s">
        <v>135</v>
      </c>
      <c r="T67" t="s">
        <v>96</v>
      </c>
      <c r="U67" t="s">
        <v>68</v>
      </c>
      <c r="V67" t="s">
        <v>69</v>
      </c>
      <c r="X67" t="s">
        <v>37</v>
      </c>
      <c r="Y67" t="s">
        <v>37</v>
      </c>
      <c r="Z67" t="s">
        <v>48</v>
      </c>
      <c r="AA67">
        <v>1</v>
      </c>
      <c r="AB67">
        <v>3</v>
      </c>
      <c r="AC67">
        <v>1</v>
      </c>
      <c r="AD67" t="s">
        <v>191</v>
      </c>
      <c r="AE67" t="s">
        <v>40</v>
      </c>
      <c r="AF67" t="s">
        <v>41</v>
      </c>
      <c r="AG67">
        <v>1</v>
      </c>
      <c r="AH67" t="s">
        <v>329</v>
      </c>
    </row>
    <row r="68" spans="1:34" x14ac:dyDescent="0.2">
      <c r="A68">
        <v>323120</v>
      </c>
      <c r="B68" t="s">
        <v>188</v>
      </c>
      <c r="C68">
        <v>1</v>
      </c>
      <c r="D68" t="s">
        <v>420</v>
      </c>
      <c r="E68" t="s">
        <v>421</v>
      </c>
      <c r="F68">
        <v>6</v>
      </c>
      <c r="I68">
        <v>30</v>
      </c>
      <c r="J68">
        <v>25</v>
      </c>
      <c r="K68">
        <v>589</v>
      </c>
      <c r="L68">
        <v>1.2</v>
      </c>
      <c r="M68">
        <v>6.6</v>
      </c>
      <c r="N68">
        <v>8.6999999999999993</v>
      </c>
      <c r="O68">
        <v>6</v>
      </c>
      <c r="Q68">
        <v>1</v>
      </c>
      <c r="S68" t="s">
        <v>135</v>
      </c>
      <c r="T68" t="s">
        <v>96</v>
      </c>
      <c r="U68" t="s">
        <v>68</v>
      </c>
      <c r="V68" t="s">
        <v>69</v>
      </c>
      <c r="X68" t="s">
        <v>37</v>
      </c>
      <c r="Y68" t="s">
        <v>37</v>
      </c>
      <c r="Z68" t="s">
        <v>38</v>
      </c>
      <c r="AA68">
        <v>1</v>
      </c>
      <c r="AB68">
        <v>6</v>
      </c>
      <c r="AC68">
        <v>1</v>
      </c>
      <c r="AD68" t="s">
        <v>189</v>
      </c>
      <c r="AE68" t="s">
        <v>40</v>
      </c>
      <c r="AF68" t="s">
        <v>41</v>
      </c>
      <c r="AG68">
        <v>1</v>
      </c>
      <c r="AH68" t="s">
        <v>329</v>
      </c>
    </row>
    <row r="69" spans="1:34" x14ac:dyDescent="0.2">
      <c r="A69">
        <v>283240</v>
      </c>
      <c r="B69" t="s">
        <v>193</v>
      </c>
      <c r="C69">
        <v>40.109890109890109</v>
      </c>
      <c r="D69" t="s">
        <v>422</v>
      </c>
      <c r="E69" t="s">
        <v>423</v>
      </c>
      <c r="F69">
        <v>0.24931506849315069</v>
      </c>
      <c r="H69">
        <v>13</v>
      </c>
      <c r="I69">
        <v>12</v>
      </c>
      <c r="K69">
        <v>113</v>
      </c>
      <c r="L69">
        <v>1</v>
      </c>
      <c r="M69">
        <v>7.9</v>
      </c>
      <c r="N69">
        <v>7.9</v>
      </c>
      <c r="O69">
        <v>10</v>
      </c>
      <c r="Q69">
        <v>1</v>
      </c>
      <c r="T69" t="s">
        <v>82</v>
      </c>
      <c r="U69" t="s">
        <v>34</v>
      </c>
      <c r="V69" t="s">
        <v>47</v>
      </c>
      <c r="W69" t="s">
        <v>36</v>
      </c>
      <c r="X69" t="s">
        <v>37</v>
      </c>
      <c r="Y69" t="s">
        <v>37</v>
      </c>
      <c r="Z69" t="s">
        <v>38</v>
      </c>
      <c r="AA69">
        <v>40.109890109890109</v>
      </c>
      <c r="AB69">
        <v>10</v>
      </c>
      <c r="AC69">
        <v>40.109890109890109</v>
      </c>
      <c r="AD69" t="s">
        <v>194</v>
      </c>
      <c r="AE69" t="s">
        <v>40</v>
      </c>
      <c r="AF69" t="s">
        <v>41</v>
      </c>
      <c r="AG69">
        <v>2</v>
      </c>
      <c r="AH69" t="s">
        <v>333</v>
      </c>
    </row>
    <row r="70" spans="1:34" x14ac:dyDescent="0.2">
      <c r="A70">
        <v>311020</v>
      </c>
      <c r="B70" t="s">
        <v>195</v>
      </c>
      <c r="C70">
        <v>4</v>
      </c>
      <c r="D70" t="s">
        <v>374</v>
      </c>
      <c r="E70" t="s">
        <v>386</v>
      </c>
      <c r="F70">
        <v>1</v>
      </c>
      <c r="I70">
        <v>2</v>
      </c>
      <c r="K70">
        <v>3</v>
      </c>
      <c r="L70">
        <v>1</v>
      </c>
      <c r="M70">
        <v>0.7</v>
      </c>
      <c r="N70">
        <v>1</v>
      </c>
      <c r="O70">
        <v>4</v>
      </c>
      <c r="Q70">
        <v>1</v>
      </c>
      <c r="T70" t="s">
        <v>45</v>
      </c>
      <c r="U70" t="s">
        <v>46</v>
      </c>
      <c r="V70" t="s">
        <v>35</v>
      </c>
      <c r="W70" t="s">
        <v>36</v>
      </c>
      <c r="X70" t="s">
        <v>37</v>
      </c>
      <c r="Y70" t="s">
        <v>37</v>
      </c>
      <c r="Z70" t="s">
        <v>52</v>
      </c>
      <c r="AA70">
        <v>4</v>
      </c>
      <c r="AB70">
        <v>4</v>
      </c>
      <c r="AC70">
        <v>4</v>
      </c>
      <c r="AD70" t="s">
        <v>197</v>
      </c>
      <c r="AE70" t="s">
        <v>40</v>
      </c>
      <c r="AF70" t="s">
        <v>41</v>
      </c>
      <c r="AG70">
        <v>7</v>
      </c>
      <c r="AH70" t="s">
        <v>336</v>
      </c>
    </row>
    <row r="71" spans="1:34" x14ac:dyDescent="0.2">
      <c r="A71">
        <v>311020</v>
      </c>
      <c r="B71" t="s">
        <v>195</v>
      </c>
      <c r="C71">
        <v>1.5</v>
      </c>
      <c r="D71" t="s">
        <v>386</v>
      </c>
      <c r="E71" t="s">
        <v>395</v>
      </c>
      <c r="F71">
        <v>2</v>
      </c>
      <c r="I71">
        <v>2</v>
      </c>
      <c r="K71">
        <v>3</v>
      </c>
      <c r="L71">
        <v>1</v>
      </c>
      <c r="M71">
        <v>0.7</v>
      </c>
      <c r="N71">
        <v>1.1000000000000001</v>
      </c>
      <c r="O71">
        <v>3</v>
      </c>
      <c r="Q71">
        <v>1</v>
      </c>
      <c r="T71" t="s">
        <v>45</v>
      </c>
      <c r="U71" t="s">
        <v>46</v>
      </c>
      <c r="V71" t="s">
        <v>35</v>
      </c>
      <c r="W71" t="s">
        <v>36</v>
      </c>
      <c r="X71" t="s">
        <v>50</v>
      </c>
      <c r="Y71" t="s">
        <v>51</v>
      </c>
      <c r="Z71" t="s">
        <v>52</v>
      </c>
      <c r="AA71">
        <v>-1.5</v>
      </c>
      <c r="AB71">
        <v>-3</v>
      </c>
      <c r="AC71">
        <v>1.5</v>
      </c>
      <c r="AD71" t="s">
        <v>196</v>
      </c>
      <c r="AE71" t="s">
        <v>40</v>
      </c>
      <c r="AF71" t="s">
        <v>41</v>
      </c>
      <c r="AG71">
        <v>5</v>
      </c>
      <c r="AH71" t="s">
        <v>336</v>
      </c>
    </row>
    <row r="72" spans="1:34" x14ac:dyDescent="0.2">
      <c r="A72">
        <v>311020</v>
      </c>
      <c r="B72" t="s">
        <v>195</v>
      </c>
      <c r="C72">
        <v>4.5</v>
      </c>
      <c r="D72" t="s">
        <v>375</v>
      </c>
      <c r="E72" t="s">
        <v>360</v>
      </c>
      <c r="F72">
        <v>2</v>
      </c>
      <c r="I72">
        <v>2</v>
      </c>
      <c r="K72">
        <v>3</v>
      </c>
      <c r="L72">
        <v>1</v>
      </c>
      <c r="M72">
        <v>0.7</v>
      </c>
      <c r="N72">
        <v>1</v>
      </c>
      <c r="O72">
        <v>9</v>
      </c>
      <c r="Q72">
        <v>1</v>
      </c>
      <c r="T72" t="s">
        <v>45</v>
      </c>
      <c r="U72" t="s">
        <v>46</v>
      </c>
      <c r="V72" t="s">
        <v>35</v>
      </c>
      <c r="W72" t="s">
        <v>36</v>
      </c>
      <c r="X72" t="s">
        <v>50</v>
      </c>
      <c r="Y72" t="s">
        <v>51</v>
      </c>
      <c r="Z72" t="s">
        <v>52</v>
      </c>
      <c r="AA72">
        <v>-4.5</v>
      </c>
      <c r="AB72">
        <v>-9</v>
      </c>
      <c r="AC72">
        <v>4.5</v>
      </c>
      <c r="AD72" t="s">
        <v>198</v>
      </c>
      <c r="AE72" t="s">
        <v>40</v>
      </c>
      <c r="AF72" t="s">
        <v>41</v>
      </c>
      <c r="AG72">
        <v>5</v>
      </c>
      <c r="AH72" t="s">
        <v>336</v>
      </c>
    </row>
    <row r="73" spans="1:34" x14ac:dyDescent="0.2">
      <c r="A73">
        <v>373080</v>
      </c>
      <c r="B73" t="s">
        <v>199</v>
      </c>
      <c r="C73">
        <v>2.4</v>
      </c>
      <c r="D73" t="s">
        <v>355</v>
      </c>
      <c r="E73" t="s">
        <v>351</v>
      </c>
      <c r="F73">
        <v>3</v>
      </c>
      <c r="I73">
        <v>10</v>
      </c>
      <c r="J73">
        <v>2.5146481008519466</v>
      </c>
      <c r="K73">
        <v>79</v>
      </c>
      <c r="L73">
        <v>1</v>
      </c>
      <c r="M73">
        <v>3</v>
      </c>
      <c r="N73">
        <v>3</v>
      </c>
      <c r="O73">
        <v>7.1999999999999993</v>
      </c>
      <c r="Q73">
        <v>2</v>
      </c>
      <c r="S73" t="s">
        <v>84</v>
      </c>
      <c r="T73" t="s">
        <v>33</v>
      </c>
      <c r="U73" t="s">
        <v>61</v>
      </c>
      <c r="V73" t="s">
        <v>47</v>
      </c>
      <c r="X73" t="s">
        <v>50</v>
      </c>
      <c r="Y73" t="s">
        <v>51</v>
      </c>
      <c r="Z73" t="s">
        <v>38</v>
      </c>
      <c r="AA73">
        <v>-2.4</v>
      </c>
      <c r="AB73">
        <v>-7.1999999999999993</v>
      </c>
      <c r="AC73">
        <v>2.4</v>
      </c>
      <c r="AD73" t="s">
        <v>201</v>
      </c>
      <c r="AE73" t="s">
        <v>40</v>
      </c>
      <c r="AF73" t="s">
        <v>41</v>
      </c>
      <c r="AG73">
        <v>4</v>
      </c>
      <c r="AH73" t="s">
        <v>332</v>
      </c>
    </row>
    <row r="74" spans="1:34" x14ac:dyDescent="0.2">
      <c r="A74">
        <v>373080</v>
      </c>
      <c r="B74" t="s">
        <v>199</v>
      </c>
      <c r="C74">
        <v>1.3333333333333333</v>
      </c>
      <c r="D74" t="s">
        <v>357</v>
      </c>
      <c r="E74" t="s">
        <v>375</v>
      </c>
      <c r="F74">
        <v>6</v>
      </c>
      <c r="I74">
        <v>30</v>
      </c>
      <c r="K74">
        <v>707</v>
      </c>
      <c r="L74">
        <v>1</v>
      </c>
      <c r="M74">
        <v>21</v>
      </c>
      <c r="N74">
        <v>21</v>
      </c>
      <c r="O74">
        <v>8</v>
      </c>
      <c r="Q74">
        <v>2</v>
      </c>
      <c r="T74" t="s">
        <v>33</v>
      </c>
      <c r="U74" t="s">
        <v>61</v>
      </c>
      <c r="V74" t="s">
        <v>47</v>
      </c>
      <c r="W74" t="s">
        <v>36</v>
      </c>
      <c r="X74" t="s">
        <v>37</v>
      </c>
      <c r="Y74" t="s">
        <v>37</v>
      </c>
      <c r="Z74" t="s">
        <v>38</v>
      </c>
      <c r="AA74">
        <v>1.3333333333333333</v>
      </c>
      <c r="AB74">
        <v>8</v>
      </c>
      <c r="AC74">
        <v>1.3333333333333333</v>
      </c>
      <c r="AD74" t="s">
        <v>200</v>
      </c>
      <c r="AE74" t="s">
        <v>40</v>
      </c>
      <c r="AF74" t="s">
        <v>41</v>
      </c>
      <c r="AG74">
        <v>1</v>
      </c>
      <c r="AH74" t="s">
        <v>332</v>
      </c>
    </row>
    <row r="75" spans="1:34" x14ac:dyDescent="0.2">
      <c r="A75">
        <v>312060</v>
      </c>
      <c r="B75" t="s">
        <v>202</v>
      </c>
      <c r="C75">
        <v>5</v>
      </c>
      <c r="D75" t="s">
        <v>394</v>
      </c>
      <c r="E75" t="s">
        <v>376</v>
      </c>
      <c r="F75">
        <v>1</v>
      </c>
      <c r="I75">
        <v>16</v>
      </c>
      <c r="K75">
        <v>201</v>
      </c>
      <c r="L75">
        <v>1</v>
      </c>
      <c r="M75">
        <v>2.7</v>
      </c>
      <c r="N75">
        <v>2.8</v>
      </c>
      <c r="O75">
        <v>5</v>
      </c>
      <c r="Q75">
        <v>1</v>
      </c>
      <c r="T75" t="s">
        <v>45</v>
      </c>
      <c r="U75" t="s">
        <v>34</v>
      </c>
      <c r="V75" t="s">
        <v>35</v>
      </c>
      <c r="W75" t="s">
        <v>36</v>
      </c>
      <c r="X75" t="s">
        <v>37</v>
      </c>
      <c r="Y75" t="s">
        <v>37</v>
      </c>
      <c r="Z75" t="s">
        <v>38</v>
      </c>
      <c r="AA75">
        <v>5</v>
      </c>
      <c r="AB75">
        <v>5</v>
      </c>
      <c r="AC75">
        <v>5</v>
      </c>
      <c r="AD75" t="s">
        <v>204</v>
      </c>
      <c r="AE75" t="s">
        <v>40</v>
      </c>
      <c r="AF75" t="s">
        <v>41</v>
      </c>
      <c r="AG75">
        <v>2</v>
      </c>
      <c r="AH75" t="s">
        <v>333</v>
      </c>
    </row>
    <row r="76" spans="1:34" x14ac:dyDescent="0.2">
      <c r="A76">
        <v>312060</v>
      </c>
      <c r="B76" t="s">
        <v>202</v>
      </c>
      <c r="C76">
        <v>0.5</v>
      </c>
      <c r="D76" t="s">
        <v>355</v>
      </c>
      <c r="E76" t="s">
        <v>371</v>
      </c>
      <c r="F76">
        <v>18</v>
      </c>
      <c r="I76">
        <v>16</v>
      </c>
      <c r="J76">
        <v>3.9987679451838707</v>
      </c>
      <c r="K76">
        <v>201</v>
      </c>
      <c r="L76">
        <v>1</v>
      </c>
      <c r="M76">
        <v>2.7</v>
      </c>
      <c r="N76">
        <v>2.8</v>
      </c>
      <c r="O76">
        <v>9</v>
      </c>
      <c r="Q76">
        <v>1</v>
      </c>
      <c r="S76" t="s">
        <v>44</v>
      </c>
      <c r="T76" t="s">
        <v>45</v>
      </c>
      <c r="U76" t="s">
        <v>34</v>
      </c>
      <c r="V76" t="s">
        <v>35</v>
      </c>
      <c r="X76" t="s">
        <v>50</v>
      </c>
      <c r="Y76" t="s">
        <v>51</v>
      </c>
      <c r="Z76" t="s">
        <v>71</v>
      </c>
      <c r="AA76">
        <v>-0.5</v>
      </c>
      <c r="AB76">
        <v>-9</v>
      </c>
      <c r="AC76">
        <v>0.5</v>
      </c>
      <c r="AD76" t="s">
        <v>203</v>
      </c>
      <c r="AE76" t="s">
        <v>40</v>
      </c>
      <c r="AF76" t="s">
        <v>41</v>
      </c>
      <c r="AG76">
        <v>4</v>
      </c>
      <c r="AH76" t="s">
        <v>336</v>
      </c>
    </row>
    <row r="77" spans="1:34" x14ac:dyDescent="0.2">
      <c r="A77">
        <v>383060</v>
      </c>
      <c r="B77" t="s">
        <v>206</v>
      </c>
      <c r="C77">
        <v>0.4</v>
      </c>
      <c r="D77" t="s">
        <v>355</v>
      </c>
      <c r="E77" t="s">
        <v>358</v>
      </c>
      <c r="F77">
        <v>8</v>
      </c>
      <c r="I77">
        <v>3</v>
      </c>
      <c r="J77">
        <v>0.74272306776217822</v>
      </c>
      <c r="K77">
        <v>7</v>
      </c>
      <c r="L77">
        <v>1</v>
      </c>
      <c r="M77">
        <v>4</v>
      </c>
      <c r="N77">
        <v>4</v>
      </c>
      <c r="O77">
        <v>3.2</v>
      </c>
      <c r="Q77">
        <v>1</v>
      </c>
      <c r="S77" t="s">
        <v>205</v>
      </c>
      <c r="T77" t="s">
        <v>64</v>
      </c>
      <c r="U77" t="s">
        <v>163</v>
      </c>
      <c r="V77" t="s">
        <v>47</v>
      </c>
      <c r="X77" t="s">
        <v>50</v>
      </c>
      <c r="Y77" t="s">
        <v>51</v>
      </c>
      <c r="Z77" t="s">
        <v>48</v>
      </c>
      <c r="AA77">
        <v>-0.4</v>
      </c>
      <c r="AB77">
        <v>-3.2</v>
      </c>
      <c r="AC77">
        <v>0.4</v>
      </c>
      <c r="AD77" t="s">
        <v>207</v>
      </c>
      <c r="AE77" t="s">
        <v>40</v>
      </c>
      <c r="AF77" t="s">
        <v>41</v>
      </c>
      <c r="AG77">
        <v>4</v>
      </c>
      <c r="AH77" t="s">
        <v>335</v>
      </c>
    </row>
    <row r="78" spans="1:34" x14ac:dyDescent="0.2">
      <c r="A78">
        <v>383060</v>
      </c>
      <c r="B78" t="s">
        <v>206</v>
      </c>
      <c r="C78">
        <v>0.6</v>
      </c>
      <c r="D78" t="s">
        <v>355</v>
      </c>
      <c r="E78" t="s">
        <v>358</v>
      </c>
      <c r="F78">
        <v>8</v>
      </c>
      <c r="I78">
        <v>3</v>
      </c>
      <c r="J78">
        <v>0.74272306776217822</v>
      </c>
      <c r="K78">
        <v>7</v>
      </c>
      <c r="L78">
        <v>1</v>
      </c>
      <c r="M78">
        <v>4</v>
      </c>
      <c r="N78">
        <v>4</v>
      </c>
      <c r="O78">
        <v>4.8</v>
      </c>
      <c r="Q78">
        <v>1</v>
      </c>
      <c r="S78" t="s">
        <v>205</v>
      </c>
      <c r="T78" t="s">
        <v>64</v>
      </c>
      <c r="U78" t="s">
        <v>163</v>
      </c>
      <c r="V78" t="s">
        <v>47</v>
      </c>
      <c r="X78" t="s">
        <v>50</v>
      </c>
      <c r="Y78" t="s">
        <v>51</v>
      </c>
      <c r="Z78" t="s">
        <v>38</v>
      </c>
      <c r="AA78">
        <v>-0.6</v>
      </c>
      <c r="AB78">
        <v>-4.8</v>
      </c>
      <c r="AC78">
        <v>0.6</v>
      </c>
      <c r="AD78" t="s">
        <v>207</v>
      </c>
      <c r="AE78" t="s">
        <v>40</v>
      </c>
      <c r="AF78" t="s">
        <v>41</v>
      </c>
      <c r="AG78">
        <v>4</v>
      </c>
      <c r="AH78" t="s">
        <v>335</v>
      </c>
    </row>
    <row r="79" spans="1:34" x14ac:dyDescent="0.2">
      <c r="A79">
        <v>323080</v>
      </c>
      <c r="B79" t="s">
        <v>208</v>
      </c>
      <c r="C79">
        <v>1</v>
      </c>
      <c r="D79" t="s">
        <v>355</v>
      </c>
      <c r="E79" t="s">
        <v>371</v>
      </c>
      <c r="F79">
        <v>18</v>
      </c>
      <c r="H79">
        <v>5</v>
      </c>
      <c r="I79">
        <v>40</v>
      </c>
      <c r="J79">
        <v>10.002888173325623</v>
      </c>
      <c r="K79">
        <v>1257</v>
      </c>
      <c r="L79">
        <v>1</v>
      </c>
      <c r="M79">
        <v>8</v>
      </c>
      <c r="N79">
        <v>8</v>
      </c>
      <c r="O79">
        <v>18</v>
      </c>
      <c r="Q79">
        <v>1</v>
      </c>
      <c r="S79" t="s">
        <v>135</v>
      </c>
      <c r="T79" t="s">
        <v>45</v>
      </c>
      <c r="U79" t="s">
        <v>34</v>
      </c>
      <c r="V79" t="s">
        <v>35</v>
      </c>
      <c r="X79" t="s">
        <v>50</v>
      </c>
      <c r="Y79" t="s">
        <v>51</v>
      </c>
      <c r="Z79" t="s">
        <v>48</v>
      </c>
      <c r="AA79">
        <v>-1</v>
      </c>
      <c r="AB79">
        <v>-18</v>
      </c>
      <c r="AC79">
        <v>1</v>
      </c>
      <c r="AD79" t="s">
        <v>209</v>
      </c>
      <c r="AE79" t="s">
        <v>40</v>
      </c>
      <c r="AF79" t="s">
        <v>41</v>
      </c>
      <c r="AG79">
        <v>4</v>
      </c>
      <c r="AH79" t="s">
        <v>330</v>
      </c>
    </row>
    <row r="80" spans="1:34" x14ac:dyDescent="0.2">
      <c r="A80">
        <v>355120</v>
      </c>
      <c r="B80" t="s">
        <v>210</v>
      </c>
      <c r="C80">
        <v>2</v>
      </c>
      <c r="D80" t="s">
        <v>358</v>
      </c>
      <c r="E80" t="s">
        <v>395</v>
      </c>
      <c r="F80">
        <v>8</v>
      </c>
      <c r="I80">
        <v>6</v>
      </c>
      <c r="J80">
        <v>1.4854461355243564</v>
      </c>
      <c r="K80">
        <v>28</v>
      </c>
      <c r="L80">
        <v>1</v>
      </c>
      <c r="M80">
        <v>1</v>
      </c>
      <c r="N80">
        <v>1</v>
      </c>
      <c r="O80">
        <v>16</v>
      </c>
      <c r="Q80">
        <v>1</v>
      </c>
      <c r="S80" t="s">
        <v>59</v>
      </c>
      <c r="T80" t="s">
        <v>45</v>
      </c>
      <c r="U80" t="s">
        <v>34</v>
      </c>
      <c r="V80" t="s">
        <v>35</v>
      </c>
      <c r="X80" t="s">
        <v>37</v>
      </c>
      <c r="Y80" t="s">
        <v>37</v>
      </c>
      <c r="Z80" t="s">
        <v>52</v>
      </c>
      <c r="AA80">
        <v>2</v>
      </c>
      <c r="AB80">
        <v>16</v>
      </c>
      <c r="AC80">
        <v>2</v>
      </c>
      <c r="AD80" t="s">
        <v>211</v>
      </c>
      <c r="AE80" t="s">
        <v>40</v>
      </c>
      <c r="AF80" t="s">
        <v>41</v>
      </c>
      <c r="AG80">
        <v>3</v>
      </c>
      <c r="AH80" t="s">
        <v>336</v>
      </c>
    </row>
    <row r="81" spans="1:34" x14ac:dyDescent="0.2">
      <c r="A81">
        <v>222120</v>
      </c>
      <c r="B81" t="s">
        <v>212</v>
      </c>
      <c r="C81">
        <v>730</v>
      </c>
      <c r="D81" t="s">
        <v>424</v>
      </c>
      <c r="E81" t="s">
        <v>425</v>
      </c>
      <c r="F81">
        <v>5.7534246575342465E-2</v>
      </c>
      <c r="H81">
        <v>25</v>
      </c>
      <c r="I81">
        <v>40</v>
      </c>
      <c r="K81">
        <v>1257</v>
      </c>
      <c r="L81">
        <v>1</v>
      </c>
      <c r="M81">
        <v>4</v>
      </c>
      <c r="N81">
        <v>8</v>
      </c>
      <c r="O81">
        <v>42</v>
      </c>
      <c r="Q81">
        <v>2</v>
      </c>
      <c r="T81" t="s">
        <v>45</v>
      </c>
      <c r="U81" t="s">
        <v>68</v>
      </c>
      <c r="V81" t="s">
        <v>56</v>
      </c>
      <c r="W81" t="s">
        <v>36</v>
      </c>
      <c r="X81" t="s">
        <v>53</v>
      </c>
      <c r="Y81" t="s">
        <v>121</v>
      </c>
      <c r="Z81" t="s">
        <v>214</v>
      </c>
      <c r="AA81">
        <v>-730</v>
      </c>
      <c r="AB81">
        <v>-42</v>
      </c>
      <c r="AC81">
        <v>730</v>
      </c>
      <c r="AD81" t="s">
        <v>215</v>
      </c>
      <c r="AE81" t="s">
        <v>40</v>
      </c>
      <c r="AF81" t="s">
        <v>41</v>
      </c>
      <c r="AG81">
        <v>6</v>
      </c>
      <c r="AH81" t="s">
        <v>332</v>
      </c>
    </row>
    <row r="82" spans="1:34" x14ac:dyDescent="0.2">
      <c r="A82">
        <v>222120</v>
      </c>
      <c r="B82" t="s">
        <v>212</v>
      </c>
      <c r="C82">
        <v>9.3248175182481745</v>
      </c>
      <c r="D82" t="s">
        <v>413</v>
      </c>
      <c r="E82" t="s">
        <v>426</v>
      </c>
      <c r="F82">
        <v>0.75068493150684934</v>
      </c>
      <c r="H82">
        <v>25</v>
      </c>
      <c r="I82">
        <v>10</v>
      </c>
      <c r="K82">
        <v>79</v>
      </c>
      <c r="L82">
        <v>1</v>
      </c>
      <c r="M82">
        <v>3</v>
      </c>
      <c r="N82">
        <v>3</v>
      </c>
      <c r="O82">
        <v>7</v>
      </c>
      <c r="Q82">
        <v>2</v>
      </c>
      <c r="T82" t="s">
        <v>45</v>
      </c>
      <c r="U82" t="s">
        <v>68</v>
      </c>
      <c r="V82" t="s">
        <v>56</v>
      </c>
      <c r="W82" t="s">
        <v>36</v>
      </c>
      <c r="X82" t="s">
        <v>50</v>
      </c>
      <c r="Y82" t="s">
        <v>51</v>
      </c>
      <c r="Z82" t="s">
        <v>98</v>
      </c>
      <c r="AA82">
        <v>-9.3248175182481745</v>
      </c>
      <c r="AB82">
        <v>-7</v>
      </c>
      <c r="AC82">
        <v>9.3248175182481745</v>
      </c>
      <c r="AD82" t="s">
        <v>213</v>
      </c>
      <c r="AE82" t="s">
        <v>40</v>
      </c>
      <c r="AF82" t="s">
        <v>41</v>
      </c>
      <c r="AG82">
        <v>4</v>
      </c>
      <c r="AH82" t="s">
        <v>332</v>
      </c>
    </row>
    <row r="83" spans="1:34" x14ac:dyDescent="0.2">
      <c r="A83">
        <v>222100</v>
      </c>
      <c r="B83" t="s">
        <v>216</v>
      </c>
      <c r="C83">
        <v>5.3301587301587299</v>
      </c>
      <c r="D83" t="s">
        <v>427</v>
      </c>
      <c r="E83" t="s">
        <v>428</v>
      </c>
      <c r="F83">
        <v>1.726027397260274</v>
      </c>
      <c r="I83">
        <v>10</v>
      </c>
      <c r="K83">
        <v>79</v>
      </c>
      <c r="L83">
        <v>1</v>
      </c>
      <c r="M83">
        <v>3.2</v>
      </c>
      <c r="N83">
        <v>4.2</v>
      </c>
      <c r="O83">
        <v>9.1999999999999993</v>
      </c>
      <c r="Q83">
        <v>1</v>
      </c>
      <c r="T83" t="s">
        <v>45</v>
      </c>
      <c r="U83" t="s">
        <v>68</v>
      </c>
      <c r="V83" t="s">
        <v>109</v>
      </c>
      <c r="W83" t="s">
        <v>36</v>
      </c>
      <c r="X83" t="s">
        <v>37</v>
      </c>
      <c r="Y83" t="s">
        <v>37</v>
      </c>
      <c r="Z83" t="s">
        <v>71</v>
      </c>
      <c r="AA83">
        <v>5.3301587301587299</v>
      </c>
      <c r="AB83">
        <v>9.1999999999999993</v>
      </c>
      <c r="AC83">
        <v>5.3301587301587299</v>
      </c>
      <c r="AD83" t="s">
        <v>217</v>
      </c>
      <c r="AE83" t="s">
        <v>40</v>
      </c>
      <c r="AF83" t="s">
        <v>41</v>
      </c>
      <c r="AG83">
        <v>1</v>
      </c>
      <c r="AH83" t="s">
        <v>329</v>
      </c>
    </row>
    <row r="84" spans="1:34" x14ac:dyDescent="0.2">
      <c r="A84">
        <v>312150</v>
      </c>
      <c r="B84" t="s">
        <v>218</v>
      </c>
      <c r="C84">
        <v>1</v>
      </c>
      <c r="D84" t="s">
        <v>351</v>
      </c>
      <c r="E84" t="s">
        <v>371</v>
      </c>
      <c r="F84">
        <v>15</v>
      </c>
      <c r="I84">
        <v>30</v>
      </c>
      <c r="J84">
        <v>7.5015029843980008</v>
      </c>
      <c r="K84">
        <v>707</v>
      </c>
      <c r="L84">
        <v>1</v>
      </c>
      <c r="M84">
        <v>5</v>
      </c>
      <c r="N84">
        <v>15</v>
      </c>
      <c r="O84">
        <v>15</v>
      </c>
      <c r="Q84">
        <v>1</v>
      </c>
      <c r="S84" t="s">
        <v>44</v>
      </c>
      <c r="T84" t="s">
        <v>45</v>
      </c>
      <c r="U84" t="s">
        <v>34</v>
      </c>
      <c r="V84" t="s">
        <v>35</v>
      </c>
      <c r="X84" t="s">
        <v>37</v>
      </c>
      <c r="Y84" t="s">
        <v>37</v>
      </c>
      <c r="Z84" t="s">
        <v>38</v>
      </c>
      <c r="AA84">
        <v>1</v>
      </c>
      <c r="AB84">
        <v>15</v>
      </c>
      <c r="AC84">
        <v>1</v>
      </c>
      <c r="AD84" t="s">
        <v>219</v>
      </c>
      <c r="AE84" t="s">
        <v>40</v>
      </c>
      <c r="AF84" t="s">
        <v>41</v>
      </c>
      <c r="AG84">
        <v>1</v>
      </c>
      <c r="AH84" t="s">
        <v>329</v>
      </c>
    </row>
    <row r="85" spans="1:34" x14ac:dyDescent="0.2">
      <c r="A85">
        <v>311310</v>
      </c>
      <c r="B85" t="s">
        <v>220</v>
      </c>
      <c r="C85">
        <v>1</v>
      </c>
      <c r="D85" t="s">
        <v>429</v>
      </c>
      <c r="E85" t="s">
        <v>430</v>
      </c>
      <c r="F85">
        <v>4.9369863013698634</v>
      </c>
      <c r="H85">
        <v>5</v>
      </c>
      <c r="I85">
        <v>22</v>
      </c>
      <c r="J85">
        <v>5.4980798522654757</v>
      </c>
      <c r="K85">
        <v>380</v>
      </c>
      <c r="L85">
        <v>1</v>
      </c>
      <c r="M85">
        <v>5.0999999999999996</v>
      </c>
      <c r="N85">
        <v>6.5</v>
      </c>
      <c r="O85">
        <v>4.9369863013698634</v>
      </c>
      <c r="Q85">
        <v>1</v>
      </c>
      <c r="S85" t="s">
        <v>44</v>
      </c>
      <c r="T85" t="s">
        <v>45</v>
      </c>
      <c r="U85" t="s">
        <v>46</v>
      </c>
      <c r="V85" t="s">
        <v>35</v>
      </c>
      <c r="X85" t="s">
        <v>50</v>
      </c>
      <c r="Y85" t="s">
        <v>51</v>
      </c>
      <c r="Z85" t="s">
        <v>48</v>
      </c>
      <c r="AA85">
        <v>-1</v>
      </c>
      <c r="AB85">
        <v>-4.9369863013698634</v>
      </c>
      <c r="AC85">
        <v>1</v>
      </c>
      <c r="AD85" t="s">
        <v>221</v>
      </c>
      <c r="AE85" t="s">
        <v>40</v>
      </c>
      <c r="AF85" t="s">
        <v>41</v>
      </c>
      <c r="AG85">
        <v>4</v>
      </c>
      <c r="AH85" t="s">
        <v>336</v>
      </c>
    </row>
    <row r="86" spans="1:34" x14ac:dyDescent="0.2">
      <c r="A86">
        <v>311310</v>
      </c>
      <c r="B86" t="s">
        <v>220</v>
      </c>
      <c r="C86">
        <v>1</v>
      </c>
      <c r="D86" t="s">
        <v>373</v>
      </c>
      <c r="E86" t="s">
        <v>356</v>
      </c>
      <c r="F86">
        <v>5</v>
      </c>
      <c r="H86">
        <v>5</v>
      </c>
      <c r="I86">
        <v>5</v>
      </c>
      <c r="J86">
        <v>1.2732395447351628</v>
      </c>
      <c r="K86">
        <v>20</v>
      </c>
      <c r="L86">
        <v>1</v>
      </c>
      <c r="M86">
        <v>5</v>
      </c>
      <c r="N86">
        <v>6.6</v>
      </c>
      <c r="O86">
        <v>5</v>
      </c>
      <c r="Q86">
        <v>1</v>
      </c>
      <c r="S86" t="s">
        <v>44</v>
      </c>
      <c r="T86" t="s">
        <v>45</v>
      </c>
      <c r="U86" t="s">
        <v>46</v>
      </c>
      <c r="V86" t="s">
        <v>35</v>
      </c>
      <c r="X86" t="s">
        <v>50</v>
      </c>
      <c r="Y86" t="s">
        <v>51</v>
      </c>
      <c r="Z86" t="s">
        <v>71</v>
      </c>
      <c r="AA86">
        <v>-1</v>
      </c>
      <c r="AB86">
        <v>-5</v>
      </c>
      <c r="AC86">
        <v>1</v>
      </c>
      <c r="AD86" t="s">
        <v>222</v>
      </c>
      <c r="AE86" t="s">
        <v>40</v>
      </c>
      <c r="AF86" t="s">
        <v>41</v>
      </c>
      <c r="AG86">
        <v>4</v>
      </c>
      <c r="AH86" t="s">
        <v>336</v>
      </c>
    </row>
    <row r="87" spans="1:34" x14ac:dyDescent="0.2">
      <c r="A87">
        <v>357061</v>
      </c>
      <c r="B87" t="s">
        <v>233</v>
      </c>
      <c r="C87">
        <v>19</v>
      </c>
      <c r="D87">
        <v>2013</v>
      </c>
      <c r="E87">
        <v>2014.83</v>
      </c>
      <c r="F87">
        <v>1.8299999999999272</v>
      </c>
      <c r="I87">
        <v>12</v>
      </c>
      <c r="J87">
        <v>2.9974180948973621</v>
      </c>
      <c r="K87">
        <v>113</v>
      </c>
      <c r="L87">
        <v>1</v>
      </c>
      <c r="M87">
        <v>5</v>
      </c>
      <c r="N87">
        <v>8.5</v>
      </c>
      <c r="O87">
        <v>34.769999999998618</v>
      </c>
      <c r="Q87">
        <v>1</v>
      </c>
      <c r="S87" t="s">
        <v>59</v>
      </c>
      <c r="T87" t="s">
        <v>33</v>
      </c>
      <c r="U87" t="s">
        <v>34</v>
      </c>
      <c r="V87" t="s">
        <v>35</v>
      </c>
      <c r="X87" t="s">
        <v>37</v>
      </c>
      <c r="Y87" t="s">
        <v>37</v>
      </c>
      <c r="Z87" t="s">
        <v>48</v>
      </c>
      <c r="AA87">
        <v>19</v>
      </c>
      <c r="AB87">
        <v>34.769999999998618</v>
      </c>
      <c r="AC87">
        <v>19</v>
      </c>
      <c r="AD87" t="s">
        <v>234</v>
      </c>
      <c r="AE87" t="s">
        <v>40</v>
      </c>
      <c r="AF87" t="s">
        <v>41</v>
      </c>
      <c r="AG87">
        <v>2</v>
      </c>
      <c r="AH87" t="s">
        <v>331</v>
      </c>
    </row>
    <row r="88" spans="1:34" x14ac:dyDescent="0.2">
      <c r="A88">
        <v>357061</v>
      </c>
      <c r="B88" t="s">
        <v>233</v>
      </c>
      <c r="C88">
        <v>28</v>
      </c>
      <c r="D88" t="s">
        <v>431</v>
      </c>
      <c r="E88" t="s">
        <v>432</v>
      </c>
      <c r="F88">
        <v>5</v>
      </c>
      <c r="I88">
        <v>12</v>
      </c>
      <c r="J88">
        <v>2.9974180948973621</v>
      </c>
      <c r="K88">
        <v>113</v>
      </c>
      <c r="L88">
        <v>1</v>
      </c>
      <c r="M88">
        <v>5</v>
      </c>
      <c r="N88">
        <v>8.5</v>
      </c>
      <c r="O88">
        <v>140</v>
      </c>
      <c r="Q88">
        <v>1</v>
      </c>
      <c r="S88" t="s">
        <v>59</v>
      </c>
      <c r="T88" t="s">
        <v>33</v>
      </c>
      <c r="U88" t="s">
        <v>34</v>
      </c>
      <c r="V88" t="s">
        <v>35</v>
      </c>
      <c r="X88" t="s">
        <v>37</v>
      </c>
      <c r="Y88" t="s">
        <v>37</v>
      </c>
      <c r="Z88" t="s">
        <v>38</v>
      </c>
      <c r="AA88">
        <v>28</v>
      </c>
      <c r="AB88">
        <v>140</v>
      </c>
      <c r="AC88">
        <v>28</v>
      </c>
      <c r="AD88" t="s">
        <v>235</v>
      </c>
      <c r="AE88" t="s">
        <v>40</v>
      </c>
      <c r="AF88" t="s">
        <v>41</v>
      </c>
      <c r="AG88">
        <v>1</v>
      </c>
      <c r="AH88" t="s">
        <v>331</v>
      </c>
    </row>
    <row r="89" spans="1:34" x14ac:dyDescent="0.2">
      <c r="A89">
        <v>332020</v>
      </c>
      <c r="B89" t="s">
        <v>236</v>
      </c>
      <c r="C89">
        <v>1.6666666666666667</v>
      </c>
      <c r="D89" t="s">
        <v>394</v>
      </c>
      <c r="E89" t="s">
        <v>374</v>
      </c>
      <c r="F89">
        <v>3</v>
      </c>
      <c r="I89">
        <v>30</v>
      </c>
      <c r="K89">
        <v>707</v>
      </c>
      <c r="L89">
        <v>1</v>
      </c>
      <c r="M89">
        <v>4.7</v>
      </c>
      <c r="N89">
        <v>4.7</v>
      </c>
      <c r="O89">
        <v>5</v>
      </c>
      <c r="Q89">
        <v>1</v>
      </c>
      <c r="T89" t="s">
        <v>60</v>
      </c>
      <c r="U89" t="s">
        <v>164</v>
      </c>
      <c r="V89" t="s">
        <v>47</v>
      </c>
      <c r="W89" t="s">
        <v>36</v>
      </c>
      <c r="X89" t="s">
        <v>53</v>
      </c>
      <c r="Y89" t="s">
        <v>54</v>
      </c>
      <c r="Z89" t="s">
        <v>38</v>
      </c>
      <c r="AA89">
        <v>1.6666666666666667</v>
      </c>
      <c r="AB89">
        <v>5</v>
      </c>
      <c r="AC89">
        <v>1.6666666666666667</v>
      </c>
      <c r="AD89" t="s">
        <v>237</v>
      </c>
      <c r="AE89" t="s">
        <v>40</v>
      </c>
      <c r="AF89" t="s">
        <v>41</v>
      </c>
      <c r="AG89">
        <v>1</v>
      </c>
      <c r="AH89" t="s">
        <v>333</v>
      </c>
    </row>
    <row r="90" spans="1:34" x14ac:dyDescent="0.2">
      <c r="A90">
        <v>323020</v>
      </c>
      <c r="B90" t="s">
        <v>238</v>
      </c>
      <c r="C90">
        <v>1</v>
      </c>
      <c r="D90" t="s">
        <v>433</v>
      </c>
      <c r="E90" t="s">
        <v>396</v>
      </c>
      <c r="F90">
        <v>61</v>
      </c>
      <c r="I90">
        <v>15</v>
      </c>
      <c r="J90">
        <v>3.7560566569687301</v>
      </c>
      <c r="K90">
        <v>177</v>
      </c>
      <c r="L90">
        <v>1</v>
      </c>
      <c r="M90">
        <v>9</v>
      </c>
      <c r="N90">
        <v>10</v>
      </c>
      <c r="O90">
        <v>61</v>
      </c>
      <c r="Q90">
        <v>1</v>
      </c>
      <c r="S90" t="s">
        <v>135</v>
      </c>
      <c r="T90" t="s">
        <v>60</v>
      </c>
      <c r="U90" t="s">
        <v>34</v>
      </c>
      <c r="V90" t="s">
        <v>47</v>
      </c>
      <c r="X90" t="s">
        <v>50</v>
      </c>
      <c r="Y90" t="s">
        <v>51</v>
      </c>
      <c r="Z90" t="s">
        <v>239</v>
      </c>
      <c r="AA90">
        <v>-1</v>
      </c>
      <c r="AB90">
        <v>-61</v>
      </c>
      <c r="AC90">
        <v>1</v>
      </c>
      <c r="AD90" t="s">
        <v>240</v>
      </c>
      <c r="AE90" t="s">
        <v>40</v>
      </c>
      <c r="AF90" t="s">
        <v>41</v>
      </c>
      <c r="AG90">
        <v>4</v>
      </c>
      <c r="AH90" t="s">
        <v>330</v>
      </c>
    </row>
    <row r="91" spans="1:34" x14ac:dyDescent="0.2">
      <c r="A91">
        <v>222060</v>
      </c>
      <c r="B91" t="s">
        <v>241</v>
      </c>
      <c r="C91">
        <v>0.93333333333333324</v>
      </c>
      <c r="D91" t="s">
        <v>359</v>
      </c>
      <c r="E91" t="s">
        <v>358</v>
      </c>
      <c r="F91">
        <v>3</v>
      </c>
      <c r="I91">
        <v>6</v>
      </c>
      <c r="K91">
        <v>28</v>
      </c>
      <c r="L91">
        <v>1</v>
      </c>
      <c r="M91">
        <v>1.5</v>
      </c>
      <c r="N91">
        <v>1.5</v>
      </c>
      <c r="O91">
        <v>2.8</v>
      </c>
      <c r="Q91">
        <v>1</v>
      </c>
      <c r="T91" t="s">
        <v>60</v>
      </c>
      <c r="U91" t="s">
        <v>68</v>
      </c>
      <c r="V91" t="s">
        <v>109</v>
      </c>
      <c r="W91" t="s">
        <v>36</v>
      </c>
      <c r="X91" t="s">
        <v>50</v>
      </c>
      <c r="Y91" t="s">
        <v>51</v>
      </c>
      <c r="Z91" t="s">
        <v>71</v>
      </c>
      <c r="AA91">
        <v>-0.93333333333333324</v>
      </c>
      <c r="AB91">
        <v>-2.8</v>
      </c>
      <c r="AC91">
        <v>0.93333333333333324</v>
      </c>
      <c r="AD91" t="s">
        <v>242</v>
      </c>
      <c r="AE91" t="s">
        <v>40</v>
      </c>
      <c r="AF91" t="s">
        <v>41</v>
      </c>
      <c r="AG91">
        <v>4</v>
      </c>
      <c r="AH91" t="s">
        <v>336</v>
      </c>
    </row>
    <row r="92" spans="1:34" x14ac:dyDescent="0.2">
      <c r="A92">
        <v>221101</v>
      </c>
      <c r="B92" t="s">
        <v>243</v>
      </c>
      <c r="C92">
        <v>20</v>
      </c>
      <c r="D92" t="s">
        <v>434</v>
      </c>
      <c r="E92" t="s">
        <v>435</v>
      </c>
      <c r="F92">
        <v>1.2547945205479452</v>
      </c>
      <c r="I92">
        <v>15</v>
      </c>
      <c r="J92">
        <v>3.7560566569687301</v>
      </c>
      <c r="K92">
        <v>177</v>
      </c>
      <c r="L92">
        <v>1</v>
      </c>
      <c r="M92">
        <v>7</v>
      </c>
      <c r="N92">
        <v>7</v>
      </c>
      <c r="O92">
        <v>25.095890410958901</v>
      </c>
      <c r="Q92">
        <v>2</v>
      </c>
      <c r="S92" t="s">
        <v>67</v>
      </c>
      <c r="T92" t="s">
        <v>45</v>
      </c>
      <c r="U92" t="s">
        <v>65</v>
      </c>
      <c r="V92" t="s">
        <v>109</v>
      </c>
      <c r="X92" t="s">
        <v>50</v>
      </c>
      <c r="Y92" t="s">
        <v>51</v>
      </c>
      <c r="Z92" t="s">
        <v>38</v>
      </c>
      <c r="AA92">
        <v>-20</v>
      </c>
      <c r="AB92">
        <v>-25.095890410958901</v>
      </c>
      <c r="AC92">
        <v>20</v>
      </c>
      <c r="AD92" t="s">
        <v>244</v>
      </c>
      <c r="AE92" t="s">
        <v>40</v>
      </c>
      <c r="AF92" t="s">
        <v>41</v>
      </c>
      <c r="AG92">
        <v>4</v>
      </c>
      <c r="AH92" t="s">
        <v>332</v>
      </c>
    </row>
    <row r="93" spans="1:34" x14ac:dyDescent="0.2">
      <c r="A93">
        <v>353050</v>
      </c>
      <c r="B93" t="s">
        <v>245</v>
      </c>
      <c r="C93">
        <v>52.142857142857146</v>
      </c>
      <c r="D93" t="s">
        <v>436</v>
      </c>
      <c r="E93" t="s">
        <v>249</v>
      </c>
      <c r="F93">
        <v>0.95890410958904104</v>
      </c>
      <c r="I93">
        <v>6</v>
      </c>
      <c r="K93">
        <v>28</v>
      </c>
      <c r="L93">
        <v>1</v>
      </c>
      <c r="M93">
        <v>2.2000000000000002</v>
      </c>
      <c r="N93">
        <v>2.2000000000000002</v>
      </c>
      <c r="O93">
        <v>50</v>
      </c>
      <c r="Q93">
        <v>2</v>
      </c>
      <c r="T93" t="s">
        <v>60</v>
      </c>
      <c r="U93" t="s">
        <v>61</v>
      </c>
      <c r="V93" t="s">
        <v>47</v>
      </c>
      <c r="W93" t="s">
        <v>36</v>
      </c>
      <c r="X93" t="s">
        <v>37</v>
      </c>
      <c r="Y93" t="s">
        <v>37</v>
      </c>
      <c r="Z93" t="s">
        <v>38</v>
      </c>
      <c r="AA93">
        <v>52.142857142857146</v>
      </c>
      <c r="AB93">
        <v>50</v>
      </c>
      <c r="AD93" t="s">
        <v>251</v>
      </c>
      <c r="AE93" t="s">
        <v>40</v>
      </c>
      <c r="AF93" t="s">
        <v>41</v>
      </c>
      <c r="AG93">
        <v>2</v>
      </c>
      <c r="AH93" t="s">
        <v>331</v>
      </c>
    </row>
    <row r="94" spans="1:34" x14ac:dyDescent="0.2">
      <c r="A94">
        <v>353050</v>
      </c>
      <c r="B94" t="s">
        <v>245</v>
      </c>
      <c r="C94">
        <v>312.85714285714289</v>
      </c>
      <c r="D94" t="s">
        <v>246</v>
      </c>
      <c r="E94" t="s">
        <v>247</v>
      </c>
      <c r="F94">
        <v>9.5890410958904104E-2</v>
      </c>
      <c r="I94">
        <v>8</v>
      </c>
      <c r="K94">
        <v>50</v>
      </c>
      <c r="L94">
        <v>1</v>
      </c>
      <c r="M94">
        <v>2</v>
      </c>
      <c r="N94">
        <v>2</v>
      </c>
      <c r="O94">
        <v>30</v>
      </c>
      <c r="Q94">
        <v>2</v>
      </c>
      <c r="T94" t="s">
        <v>60</v>
      </c>
      <c r="U94" t="s">
        <v>61</v>
      </c>
      <c r="V94" t="s">
        <v>47</v>
      </c>
      <c r="W94" t="s">
        <v>36</v>
      </c>
      <c r="X94" t="s">
        <v>50</v>
      </c>
      <c r="Y94" t="s">
        <v>51</v>
      </c>
      <c r="Z94" t="s">
        <v>98</v>
      </c>
      <c r="AA94">
        <v>-312.85714285714289</v>
      </c>
      <c r="AB94">
        <v>-30</v>
      </c>
      <c r="AD94" t="s">
        <v>248</v>
      </c>
      <c r="AE94" t="s">
        <v>40</v>
      </c>
      <c r="AF94" t="s">
        <v>41</v>
      </c>
      <c r="AG94">
        <v>6</v>
      </c>
      <c r="AH94" t="s">
        <v>334</v>
      </c>
    </row>
    <row r="95" spans="1:34" x14ac:dyDescent="0.2">
      <c r="A95">
        <v>351020</v>
      </c>
      <c r="B95" t="s">
        <v>252</v>
      </c>
      <c r="C95">
        <v>4</v>
      </c>
      <c r="D95" t="s">
        <v>432</v>
      </c>
      <c r="E95" t="s">
        <v>437</v>
      </c>
      <c r="F95">
        <v>3</v>
      </c>
      <c r="H95">
        <v>10</v>
      </c>
      <c r="I95">
        <v>20</v>
      </c>
      <c r="J95">
        <v>4.9974652130855137</v>
      </c>
      <c r="K95">
        <v>314</v>
      </c>
      <c r="L95">
        <v>1</v>
      </c>
      <c r="M95">
        <v>14</v>
      </c>
      <c r="N95">
        <v>14</v>
      </c>
      <c r="O95">
        <v>12</v>
      </c>
      <c r="Q95">
        <v>1</v>
      </c>
      <c r="S95" t="s">
        <v>59</v>
      </c>
      <c r="T95" t="s">
        <v>45</v>
      </c>
      <c r="U95" t="s">
        <v>34</v>
      </c>
      <c r="V95" t="s">
        <v>35</v>
      </c>
      <c r="X95" t="s">
        <v>37</v>
      </c>
      <c r="Y95" t="s">
        <v>37</v>
      </c>
      <c r="Z95" t="s">
        <v>38</v>
      </c>
      <c r="AA95">
        <v>4</v>
      </c>
      <c r="AB95">
        <v>12</v>
      </c>
      <c r="AC95">
        <v>4</v>
      </c>
      <c r="AD95" t="s">
        <v>253</v>
      </c>
      <c r="AE95" t="s">
        <v>40</v>
      </c>
      <c r="AF95" t="s">
        <v>41</v>
      </c>
      <c r="AG95">
        <v>1</v>
      </c>
      <c r="AH95" t="s">
        <v>333</v>
      </c>
    </row>
    <row r="96" spans="1:34" x14ac:dyDescent="0.2">
      <c r="A96">
        <v>311290</v>
      </c>
      <c r="B96" t="s">
        <v>255</v>
      </c>
      <c r="C96">
        <v>153.19343065693431</v>
      </c>
      <c r="D96" t="s">
        <v>438</v>
      </c>
      <c r="E96" t="s">
        <v>439</v>
      </c>
      <c r="F96">
        <v>0.75068493150684934</v>
      </c>
      <c r="I96">
        <v>12</v>
      </c>
      <c r="K96">
        <v>113.09733552923255</v>
      </c>
      <c r="L96">
        <v>1</v>
      </c>
      <c r="M96">
        <v>1.9</v>
      </c>
      <c r="N96">
        <v>1.9</v>
      </c>
      <c r="O96">
        <v>115</v>
      </c>
      <c r="Q96">
        <v>2</v>
      </c>
      <c r="T96" t="s">
        <v>60</v>
      </c>
      <c r="U96" t="s">
        <v>46</v>
      </c>
      <c r="V96" t="s">
        <v>47</v>
      </c>
      <c r="W96" t="s">
        <v>36</v>
      </c>
      <c r="X96" t="s">
        <v>50</v>
      </c>
      <c r="Y96" t="s">
        <v>51</v>
      </c>
      <c r="Z96" t="s">
        <v>98</v>
      </c>
      <c r="AA96">
        <v>-153.19343065693431</v>
      </c>
      <c r="AB96">
        <v>-115</v>
      </c>
      <c r="AC96">
        <v>153.19343065693431</v>
      </c>
      <c r="AD96" t="s">
        <v>263</v>
      </c>
      <c r="AE96" t="s">
        <v>40</v>
      </c>
      <c r="AF96" t="s">
        <v>41</v>
      </c>
      <c r="AG96">
        <v>6</v>
      </c>
      <c r="AH96" t="s">
        <v>334</v>
      </c>
    </row>
    <row r="97" spans="1:34" x14ac:dyDescent="0.2">
      <c r="A97">
        <v>311290</v>
      </c>
      <c r="B97" t="s">
        <v>255</v>
      </c>
      <c r="C97">
        <v>5</v>
      </c>
      <c r="D97" t="s">
        <v>373</v>
      </c>
      <c r="E97" t="s">
        <v>374</v>
      </c>
      <c r="F97">
        <v>1</v>
      </c>
      <c r="I97">
        <v>4</v>
      </c>
      <c r="K97">
        <v>12.566370614359172</v>
      </c>
      <c r="L97">
        <v>1</v>
      </c>
      <c r="M97">
        <v>3</v>
      </c>
      <c r="N97">
        <v>3</v>
      </c>
      <c r="O97">
        <v>5</v>
      </c>
      <c r="Q97">
        <v>2</v>
      </c>
      <c r="T97" t="s">
        <v>60</v>
      </c>
      <c r="U97" t="s">
        <v>46</v>
      </c>
      <c r="V97" t="s">
        <v>47</v>
      </c>
      <c r="W97" t="s">
        <v>36</v>
      </c>
      <c r="X97" t="s">
        <v>50</v>
      </c>
      <c r="Y97" t="s">
        <v>51</v>
      </c>
      <c r="Z97" t="s">
        <v>38</v>
      </c>
      <c r="AA97">
        <v>-5</v>
      </c>
      <c r="AB97">
        <v>-5</v>
      </c>
      <c r="AC97">
        <v>5</v>
      </c>
      <c r="AD97" t="s">
        <v>258</v>
      </c>
      <c r="AE97" t="s">
        <v>40</v>
      </c>
      <c r="AF97" t="s">
        <v>41</v>
      </c>
      <c r="AG97">
        <v>4</v>
      </c>
      <c r="AH97" t="s">
        <v>332</v>
      </c>
    </row>
    <row r="98" spans="1:34" x14ac:dyDescent="0.2">
      <c r="A98">
        <v>311290</v>
      </c>
      <c r="B98" t="s">
        <v>255</v>
      </c>
      <c r="C98">
        <v>2</v>
      </c>
      <c r="D98" t="s">
        <v>351</v>
      </c>
      <c r="E98" t="s">
        <v>421</v>
      </c>
      <c r="F98">
        <v>1</v>
      </c>
      <c r="I98">
        <v>7</v>
      </c>
      <c r="J98">
        <v>5</v>
      </c>
      <c r="K98">
        <v>27.488935718910689</v>
      </c>
      <c r="L98">
        <v>1.4</v>
      </c>
      <c r="M98">
        <v>3</v>
      </c>
      <c r="N98">
        <v>3</v>
      </c>
      <c r="O98">
        <v>2</v>
      </c>
      <c r="Q98">
        <v>2</v>
      </c>
      <c r="T98" t="s">
        <v>60</v>
      </c>
      <c r="U98" t="s">
        <v>46</v>
      </c>
      <c r="V98" t="s">
        <v>47</v>
      </c>
      <c r="W98" t="s">
        <v>36</v>
      </c>
      <c r="X98" t="s">
        <v>50</v>
      </c>
      <c r="Y98" t="s">
        <v>51</v>
      </c>
      <c r="Z98" t="s">
        <v>38</v>
      </c>
      <c r="AA98">
        <v>-2</v>
      </c>
      <c r="AB98">
        <v>-2</v>
      </c>
      <c r="AC98">
        <v>2</v>
      </c>
      <c r="AD98" t="s">
        <v>256</v>
      </c>
      <c r="AE98" t="s">
        <v>40</v>
      </c>
      <c r="AF98" t="s">
        <v>41</v>
      </c>
      <c r="AG98">
        <v>4</v>
      </c>
      <c r="AH98" t="s">
        <v>332</v>
      </c>
    </row>
    <row r="99" spans="1:34" x14ac:dyDescent="0.2">
      <c r="A99">
        <v>311290</v>
      </c>
      <c r="B99" t="s">
        <v>255</v>
      </c>
      <c r="C99">
        <v>5</v>
      </c>
      <c r="D99" t="s">
        <v>374</v>
      </c>
      <c r="E99" t="s">
        <v>386</v>
      </c>
      <c r="F99">
        <v>1</v>
      </c>
      <c r="I99">
        <v>6</v>
      </c>
      <c r="K99">
        <v>28.274333882308138</v>
      </c>
      <c r="L99">
        <v>1</v>
      </c>
      <c r="M99">
        <v>3</v>
      </c>
      <c r="N99">
        <v>3</v>
      </c>
      <c r="O99">
        <v>5</v>
      </c>
      <c r="Q99">
        <v>2</v>
      </c>
      <c r="T99" t="s">
        <v>60</v>
      </c>
      <c r="U99" t="s">
        <v>46</v>
      </c>
      <c r="V99" t="s">
        <v>47</v>
      </c>
      <c r="W99" t="s">
        <v>36</v>
      </c>
      <c r="X99" t="s">
        <v>37</v>
      </c>
      <c r="Y99" t="s">
        <v>37</v>
      </c>
      <c r="Z99" t="s">
        <v>38</v>
      </c>
      <c r="AA99">
        <v>5</v>
      </c>
      <c r="AB99">
        <v>5</v>
      </c>
      <c r="AC99">
        <v>5</v>
      </c>
      <c r="AD99" t="s">
        <v>257</v>
      </c>
      <c r="AE99" t="s">
        <v>40</v>
      </c>
      <c r="AF99" t="s">
        <v>41</v>
      </c>
      <c r="AG99">
        <v>2</v>
      </c>
      <c r="AH99" t="s">
        <v>329</v>
      </c>
    </row>
    <row r="100" spans="1:34" x14ac:dyDescent="0.2">
      <c r="A100">
        <v>311290</v>
      </c>
      <c r="B100" t="s">
        <v>255</v>
      </c>
      <c r="C100">
        <v>13.518518518518519</v>
      </c>
      <c r="D100" t="s">
        <v>440</v>
      </c>
      <c r="E100" t="s">
        <v>441</v>
      </c>
      <c r="F100">
        <v>1.1095890410958904</v>
      </c>
      <c r="I100">
        <v>10</v>
      </c>
      <c r="K100">
        <v>78.539816339744831</v>
      </c>
      <c r="L100">
        <v>1</v>
      </c>
      <c r="M100">
        <v>3</v>
      </c>
      <c r="N100">
        <v>3</v>
      </c>
      <c r="O100">
        <v>15</v>
      </c>
      <c r="Q100">
        <v>2</v>
      </c>
      <c r="T100" t="s">
        <v>60</v>
      </c>
      <c r="U100" t="s">
        <v>46</v>
      </c>
      <c r="V100" t="s">
        <v>47</v>
      </c>
      <c r="W100" t="s">
        <v>36</v>
      </c>
      <c r="X100" t="s">
        <v>37</v>
      </c>
      <c r="Y100" t="s">
        <v>37</v>
      </c>
      <c r="Z100" t="s">
        <v>38</v>
      </c>
      <c r="AA100">
        <v>13.518518518518519</v>
      </c>
      <c r="AB100">
        <v>15</v>
      </c>
      <c r="AC100">
        <v>13.518518518518519</v>
      </c>
      <c r="AD100" t="s">
        <v>261</v>
      </c>
      <c r="AE100" t="s">
        <v>40</v>
      </c>
      <c r="AF100" t="s">
        <v>41</v>
      </c>
      <c r="AG100">
        <v>2</v>
      </c>
      <c r="AH100" t="s">
        <v>329</v>
      </c>
    </row>
    <row r="101" spans="1:34" x14ac:dyDescent="0.2">
      <c r="A101">
        <v>311290</v>
      </c>
      <c r="B101" t="s">
        <v>255</v>
      </c>
      <c r="C101">
        <v>6.666666666666667</v>
      </c>
      <c r="D101" t="s">
        <v>355</v>
      </c>
      <c r="E101" t="s">
        <v>351</v>
      </c>
      <c r="F101">
        <v>3</v>
      </c>
      <c r="I101">
        <v>10</v>
      </c>
      <c r="K101">
        <v>78.539816339744831</v>
      </c>
      <c r="L101">
        <v>1</v>
      </c>
      <c r="M101">
        <v>3</v>
      </c>
      <c r="N101">
        <v>3</v>
      </c>
      <c r="O101">
        <v>20</v>
      </c>
      <c r="Q101">
        <v>2</v>
      </c>
      <c r="T101" t="s">
        <v>60</v>
      </c>
      <c r="U101" t="s">
        <v>46</v>
      </c>
      <c r="V101" t="s">
        <v>47</v>
      </c>
      <c r="W101" t="s">
        <v>36</v>
      </c>
      <c r="X101" t="s">
        <v>37</v>
      </c>
      <c r="Y101" t="s">
        <v>37</v>
      </c>
      <c r="Z101" t="s">
        <v>38</v>
      </c>
      <c r="AA101">
        <v>6.666666666666667</v>
      </c>
      <c r="AB101">
        <v>20</v>
      </c>
      <c r="AC101">
        <v>6.666666666666667</v>
      </c>
      <c r="AD101" t="s">
        <v>259</v>
      </c>
      <c r="AE101" t="s">
        <v>40</v>
      </c>
      <c r="AF101" t="s">
        <v>41</v>
      </c>
      <c r="AG101">
        <v>1</v>
      </c>
      <c r="AH101" t="s">
        <v>329</v>
      </c>
    </row>
    <row r="102" spans="1:34" x14ac:dyDescent="0.2">
      <c r="A102">
        <v>311290</v>
      </c>
      <c r="B102" t="s">
        <v>255</v>
      </c>
      <c r="C102">
        <v>13</v>
      </c>
      <c r="D102" t="s">
        <v>395</v>
      </c>
      <c r="E102" t="s">
        <v>419</v>
      </c>
      <c r="F102">
        <v>6</v>
      </c>
      <c r="I102">
        <v>12</v>
      </c>
      <c r="J102">
        <v>2.9974180948973621</v>
      </c>
      <c r="K102">
        <v>113</v>
      </c>
      <c r="L102">
        <v>1</v>
      </c>
      <c r="M102">
        <v>3.9</v>
      </c>
      <c r="N102">
        <v>3.9</v>
      </c>
      <c r="O102">
        <v>78</v>
      </c>
      <c r="Q102">
        <v>2</v>
      </c>
      <c r="S102" t="s">
        <v>44</v>
      </c>
      <c r="T102" t="s">
        <v>60</v>
      </c>
      <c r="U102" t="s">
        <v>46</v>
      </c>
      <c r="V102" t="s">
        <v>47</v>
      </c>
      <c r="X102" t="s">
        <v>37</v>
      </c>
      <c r="Y102" t="s">
        <v>37</v>
      </c>
      <c r="Z102" t="s">
        <v>48</v>
      </c>
      <c r="AA102">
        <v>13</v>
      </c>
      <c r="AB102">
        <v>78</v>
      </c>
      <c r="AC102">
        <v>13</v>
      </c>
      <c r="AD102" t="s">
        <v>260</v>
      </c>
      <c r="AE102" t="s">
        <v>40</v>
      </c>
      <c r="AF102" t="s">
        <v>41</v>
      </c>
      <c r="AG102">
        <v>1</v>
      </c>
      <c r="AH102" t="s">
        <v>332</v>
      </c>
    </row>
    <row r="103" spans="1:34" x14ac:dyDescent="0.2">
      <c r="A103">
        <v>311290</v>
      </c>
      <c r="B103" t="s">
        <v>255</v>
      </c>
      <c r="C103">
        <v>20</v>
      </c>
      <c r="D103" t="s">
        <v>359</v>
      </c>
      <c r="E103" t="s">
        <v>373</v>
      </c>
      <c r="F103">
        <v>7</v>
      </c>
      <c r="I103">
        <v>12</v>
      </c>
      <c r="J103">
        <v>2.9974180948973621</v>
      </c>
      <c r="K103">
        <v>113</v>
      </c>
      <c r="L103">
        <v>1</v>
      </c>
      <c r="M103">
        <v>3</v>
      </c>
      <c r="N103">
        <v>3</v>
      </c>
      <c r="O103">
        <v>140</v>
      </c>
      <c r="Q103">
        <v>2</v>
      </c>
      <c r="S103" t="s">
        <v>44</v>
      </c>
      <c r="T103" t="s">
        <v>60</v>
      </c>
      <c r="U103" t="s">
        <v>46</v>
      </c>
      <c r="V103" t="s">
        <v>47</v>
      </c>
      <c r="X103" t="s">
        <v>37</v>
      </c>
      <c r="Y103" t="s">
        <v>37</v>
      </c>
      <c r="Z103" t="s">
        <v>38</v>
      </c>
      <c r="AA103">
        <v>20</v>
      </c>
      <c r="AB103">
        <v>140</v>
      </c>
      <c r="AC103">
        <v>20</v>
      </c>
      <c r="AD103" t="s">
        <v>262</v>
      </c>
      <c r="AE103" t="s">
        <v>40</v>
      </c>
      <c r="AF103" t="s">
        <v>41</v>
      </c>
      <c r="AG103">
        <v>1</v>
      </c>
      <c r="AH103" t="s">
        <v>329</v>
      </c>
    </row>
    <row r="104" spans="1:34" x14ac:dyDescent="0.2">
      <c r="A104">
        <v>357150</v>
      </c>
      <c r="B104" t="s">
        <v>264</v>
      </c>
      <c r="C104">
        <v>30.416666666666668</v>
      </c>
      <c r="D104" t="s">
        <v>442</v>
      </c>
      <c r="E104" t="s">
        <v>443</v>
      </c>
      <c r="F104">
        <v>0.16438356164383561</v>
      </c>
      <c r="I104">
        <v>8</v>
      </c>
      <c r="K104">
        <v>50</v>
      </c>
      <c r="L104">
        <v>2</v>
      </c>
      <c r="M104">
        <v>4</v>
      </c>
      <c r="N104">
        <v>4</v>
      </c>
      <c r="O104">
        <v>5</v>
      </c>
      <c r="Q104">
        <v>2</v>
      </c>
      <c r="T104" t="s">
        <v>45</v>
      </c>
      <c r="U104" t="s">
        <v>34</v>
      </c>
      <c r="V104" t="s">
        <v>35</v>
      </c>
      <c r="W104" t="s">
        <v>36</v>
      </c>
      <c r="X104" t="s">
        <v>37</v>
      </c>
      <c r="Y104" t="s">
        <v>37</v>
      </c>
      <c r="Z104" t="s">
        <v>38</v>
      </c>
      <c r="AA104">
        <v>30.416666666666668</v>
      </c>
      <c r="AB104">
        <v>5</v>
      </c>
      <c r="AC104">
        <v>30.416666666666668</v>
      </c>
      <c r="AD104" t="s">
        <v>269</v>
      </c>
      <c r="AE104" t="s">
        <v>40</v>
      </c>
      <c r="AF104" t="s">
        <v>41</v>
      </c>
      <c r="AG104">
        <v>2</v>
      </c>
      <c r="AH104" t="s">
        <v>333</v>
      </c>
    </row>
    <row r="105" spans="1:34" x14ac:dyDescent="0.2">
      <c r="A105">
        <v>357150</v>
      </c>
      <c r="B105" t="s">
        <v>264</v>
      </c>
      <c r="C105">
        <v>45</v>
      </c>
      <c r="D105" t="s">
        <v>432</v>
      </c>
      <c r="E105" t="s">
        <v>387</v>
      </c>
      <c r="F105">
        <v>1</v>
      </c>
      <c r="H105" t="s">
        <v>265</v>
      </c>
      <c r="I105">
        <v>15</v>
      </c>
      <c r="J105">
        <v>10</v>
      </c>
      <c r="K105">
        <v>118</v>
      </c>
      <c r="L105">
        <v>1.5</v>
      </c>
      <c r="M105">
        <v>4.5</v>
      </c>
      <c r="N105">
        <v>6</v>
      </c>
      <c r="O105">
        <v>45</v>
      </c>
      <c r="Q105">
        <v>2</v>
      </c>
      <c r="S105" t="s">
        <v>59</v>
      </c>
      <c r="T105" t="s">
        <v>45</v>
      </c>
      <c r="U105" t="s">
        <v>34</v>
      </c>
      <c r="V105" t="s">
        <v>35</v>
      </c>
      <c r="X105" t="s">
        <v>37</v>
      </c>
      <c r="Y105" t="s">
        <v>37</v>
      </c>
      <c r="Z105" t="s">
        <v>266</v>
      </c>
      <c r="AA105">
        <v>45</v>
      </c>
      <c r="AB105">
        <v>45</v>
      </c>
      <c r="AC105">
        <v>45</v>
      </c>
      <c r="AD105" t="s">
        <v>270</v>
      </c>
      <c r="AE105" t="s">
        <v>40</v>
      </c>
      <c r="AF105" t="s">
        <v>41</v>
      </c>
      <c r="AG105">
        <v>2</v>
      </c>
      <c r="AH105" t="s">
        <v>332</v>
      </c>
    </row>
    <row r="106" spans="1:34" x14ac:dyDescent="0.2">
      <c r="A106">
        <v>357150</v>
      </c>
      <c r="B106" t="s">
        <v>264</v>
      </c>
      <c r="C106">
        <v>20</v>
      </c>
      <c r="D106" t="s">
        <v>431</v>
      </c>
      <c r="E106" t="s">
        <v>356</v>
      </c>
      <c r="F106">
        <v>2</v>
      </c>
      <c r="H106" t="s">
        <v>265</v>
      </c>
      <c r="I106">
        <v>30</v>
      </c>
      <c r="J106">
        <v>18</v>
      </c>
      <c r="K106">
        <v>20</v>
      </c>
      <c r="L106">
        <v>1.6666666666666667</v>
      </c>
      <c r="M106">
        <v>5</v>
      </c>
      <c r="N106">
        <v>9</v>
      </c>
      <c r="O106">
        <v>40</v>
      </c>
      <c r="Q106">
        <v>2</v>
      </c>
      <c r="S106" t="s">
        <v>59</v>
      </c>
      <c r="T106" t="s">
        <v>45</v>
      </c>
      <c r="U106" t="s">
        <v>34</v>
      </c>
      <c r="V106" t="s">
        <v>35</v>
      </c>
      <c r="X106" t="s">
        <v>37</v>
      </c>
      <c r="Y106" t="s">
        <v>37</v>
      </c>
      <c r="Z106" t="s">
        <v>38</v>
      </c>
      <c r="AA106">
        <v>20</v>
      </c>
      <c r="AB106">
        <v>40</v>
      </c>
      <c r="AC106">
        <v>20</v>
      </c>
      <c r="AD106" t="s">
        <v>268</v>
      </c>
      <c r="AE106" t="s">
        <v>40</v>
      </c>
      <c r="AF106" t="s">
        <v>41</v>
      </c>
      <c r="AG106">
        <v>2</v>
      </c>
      <c r="AH106" t="s">
        <v>331</v>
      </c>
    </row>
    <row r="107" spans="1:34" x14ac:dyDescent="0.2">
      <c r="A107">
        <v>357150</v>
      </c>
      <c r="B107" t="s">
        <v>264</v>
      </c>
      <c r="C107">
        <v>16</v>
      </c>
      <c r="D107" t="s">
        <v>387</v>
      </c>
      <c r="E107" t="s">
        <v>437</v>
      </c>
      <c r="F107">
        <v>2</v>
      </c>
      <c r="I107">
        <v>15</v>
      </c>
      <c r="J107">
        <v>10</v>
      </c>
      <c r="K107">
        <v>118</v>
      </c>
      <c r="L107">
        <v>1.5</v>
      </c>
      <c r="M107">
        <v>4.5</v>
      </c>
      <c r="N107">
        <v>6</v>
      </c>
      <c r="O107">
        <v>32</v>
      </c>
      <c r="Q107">
        <v>2</v>
      </c>
      <c r="S107" t="s">
        <v>59</v>
      </c>
      <c r="T107" t="s">
        <v>45</v>
      </c>
      <c r="U107" t="s">
        <v>34</v>
      </c>
      <c r="V107" t="s">
        <v>35</v>
      </c>
      <c r="X107" t="s">
        <v>37</v>
      </c>
      <c r="Y107" t="s">
        <v>37</v>
      </c>
      <c r="Z107" t="s">
        <v>266</v>
      </c>
      <c r="AA107">
        <v>16</v>
      </c>
      <c r="AB107">
        <v>32</v>
      </c>
      <c r="AC107">
        <v>16</v>
      </c>
      <c r="AD107" t="s">
        <v>267</v>
      </c>
      <c r="AE107" t="s">
        <v>40</v>
      </c>
      <c r="AF107" t="s">
        <v>41</v>
      </c>
      <c r="AG107">
        <v>2</v>
      </c>
      <c r="AH107" t="s">
        <v>332</v>
      </c>
    </row>
    <row r="108" spans="1:34" x14ac:dyDescent="0.2">
      <c r="A108">
        <v>355210</v>
      </c>
      <c r="B108" t="s">
        <v>271</v>
      </c>
      <c r="C108">
        <v>1</v>
      </c>
      <c r="D108" t="s">
        <v>355</v>
      </c>
      <c r="E108" t="s">
        <v>396</v>
      </c>
      <c r="F108">
        <v>19</v>
      </c>
      <c r="H108">
        <v>8</v>
      </c>
      <c r="I108">
        <v>20</v>
      </c>
      <c r="K108">
        <v>314</v>
      </c>
      <c r="L108">
        <v>1</v>
      </c>
      <c r="M108">
        <v>4.5</v>
      </c>
      <c r="N108">
        <v>6</v>
      </c>
      <c r="O108">
        <v>19</v>
      </c>
      <c r="Q108">
        <v>1</v>
      </c>
      <c r="S108" t="s">
        <v>59</v>
      </c>
      <c r="T108" t="s">
        <v>33</v>
      </c>
      <c r="U108" t="s">
        <v>34</v>
      </c>
      <c r="V108" t="s">
        <v>69</v>
      </c>
      <c r="X108" t="s">
        <v>50</v>
      </c>
      <c r="Y108" t="s">
        <v>51</v>
      </c>
      <c r="Z108" t="s">
        <v>71</v>
      </c>
      <c r="AA108">
        <v>-1</v>
      </c>
      <c r="AB108">
        <v>-19</v>
      </c>
      <c r="AC108">
        <v>1</v>
      </c>
      <c r="AD108" t="s">
        <v>272</v>
      </c>
      <c r="AE108" t="s">
        <v>40</v>
      </c>
      <c r="AF108" t="s">
        <v>41</v>
      </c>
      <c r="AG108">
        <v>4</v>
      </c>
      <c r="AH108" t="s">
        <v>329</v>
      </c>
    </row>
    <row r="109" spans="1:34" x14ac:dyDescent="0.2">
      <c r="A109">
        <v>354006</v>
      </c>
      <c r="B109" t="s">
        <v>273</v>
      </c>
      <c r="C109">
        <v>2</v>
      </c>
      <c r="D109" t="s">
        <v>355</v>
      </c>
      <c r="E109" t="s">
        <v>359</v>
      </c>
      <c r="F109">
        <v>5</v>
      </c>
      <c r="H109">
        <v>7</v>
      </c>
      <c r="I109">
        <v>50</v>
      </c>
      <c r="K109">
        <v>1963</v>
      </c>
      <c r="L109">
        <v>1</v>
      </c>
      <c r="M109">
        <v>11</v>
      </c>
      <c r="N109">
        <v>13</v>
      </c>
      <c r="O109">
        <v>10</v>
      </c>
      <c r="Q109">
        <v>1</v>
      </c>
      <c r="S109" t="s">
        <v>59</v>
      </c>
      <c r="T109" t="s">
        <v>87</v>
      </c>
      <c r="U109" t="s">
        <v>34</v>
      </c>
      <c r="V109" t="s">
        <v>35</v>
      </c>
      <c r="X109" t="s">
        <v>37</v>
      </c>
      <c r="Y109" t="s">
        <v>37</v>
      </c>
      <c r="Z109" t="s">
        <v>38</v>
      </c>
      <c r="AA109">
        <v>2</v>
      </c>
      <c r="AB109">
        <v>10</v>
      </c>
      <c r="AC109">
        <v>2</v>
      </c>
      <c r="AD109" t="s">
        <v>274</v>
      </c>
      <c r="AE109" t="s">
        <v>40</v>
      </c>
      <c r="AF109" t="s">
        <v>41</v>
      </c>
      <c r="AG109">
        <v>1</v>
      </c>
      <c r="AH109" t="s">
        <v>333</v>
      </c>
    </row>
    <row r="110" spans="1:34" x14ac:dyDescent="0.2">
      <c r="A110">
        <v>212040</v>
      </c>
      <c r="B110" t="s">
        <v>275</v>
      </c>
      <c r="C110">
        <v>12.303370786516854</v>
      </c>
      <c r="D110" t="s">
        <v>444</v>
      </c>
      <c r="E110" t="s">
        <v>445</v>
      </c>
      <c r="F110">
        <v>0.24383561643835616</v>
      </c>
      <c r="I110">
        <v>11</v>
      </c>
      <c r="K110">
        <v>95</v>
      </c>
      <c r="L110">
        <v>1</v>
      </c>
      <c r="M110">
        <v>3.5</v>
      </c>
      <c r="N110">
        <v>6</v>
      </c>
      <c r="O110">
        <v>3</v>
      </c>
      <c r="Q110">
        <v>1</v>
      </c>
      <c r="T110" t="s">
        <v>229</v>
      </c>
      <c r="U110" t="s">
        <v>34</v>
      </c>
      <c r="V110" t="s">
        <v>232</v>
      </c>
      <c r="W110" t="s">
        <v>36</v>
      </c>
      <c r="X110" t="s">
        <v>50</v>
      </c>
      <c r="Y110" t="s">
        <v>51</v>
      </c>
      <c r="AA110">
        <v>-12.303370786516854</v>
      </c>
      <c r="AB110">
        <v>-3</v>
      </c>
      <c r="AC110">
        <v>12.303370786516854</v>
      </c>
      <c r="AD110" t="s">
        <v>276</v>
      </c>
      <c r="AE110" t="s">
        <v>40</v>
      </c>
      <c r="AF110" t="s">
        <v>41</v>
      </c>
      <c r="AG110">
        <v>4</v>
      </c>
      <c r="AH110" t="s">
        <v>336</v>
      </c>
    </row>
    <row r="111" spans="1:34" x14ac:dyDescent="0.2">
      <c r="A111">
        <v>212040</v>
      </c>
      <c r="B111" t="s">
        <v>275</v>
      </c>
      <c r="C111">
        <v>14</v>
      </c>
      <c r="D111" t="s">
        <v>396</v>
      </c>
      <c r="E111" t="s">
        <v>432</v>
      </c>
      <c r="F111">
        <v>1</v>
      </c>
      <c r="I111">
        <v>11</v>
      </c>
      <c r="K111">
        <v>95</v>
      </c>
      <c r="L111">
        <v>1</v>
      </c>
      <c r="M111">
        <v>3.5</v>
      </c>
      <c r="N111">
        <v>6</v>
      </c>
      <c r="O111">
        <v>14</v>
      </c>
      <c r="Q111">
        <v>1</v>
      </c>
      <c r="T111" t="s">
        <v>229</v>
      </c>
      <c r="U111" t="s">
        <v>34</v>
      </c>
      <c r="V111" t="s">
        <v>232</v>
      </c>
      <c r="W111" t="s">
        <v>36</v>
      </c>
      <c r="X111" t="s">
        <v>37</v>
      </c>
      <c r="Y111" t="s">
        <v>37</v>
      </c>
      <c r="Z111" t="s">
        <v>38</v>
      </c>
      <c r="AA111">
        <v>14</v>
      </c>
      <c r="AB111">
        <v>14</v>
      </c>
      <c r="AC111">
        <v>14</v>
      </c>
      <c r="AD111" t="s">
        <v>277</v>
      </c>
      <c r="AE111" t="s">
        <v>40</v>
      </c>
      <c r="AF111" t="s">
        <v>41</v>
      </c>
      <c r="AG111">
        <v>2</v>
      </c>
      <c r="AH111" t="s">
        <v>333</v>
      </c>
    </row>
    <row r="112" spans="1:34" x14ac:dyDescent="0.2">
      <c r="A112">
        <v>311180</v>
      </c>
      <c r="B112" t="s">
        <v>278</v>
      </c>
      <c r="C112">
        <v>5</v>
      </c>
      <c r="D112" t="s">
        <v>446</v>
      </c>
      <c r="E112" t="s">
        <v>447</v>
      </c>
      <c r="F112">
        <v>0.74794520547945209</v>
      </c>
      <c r="H112">
        <v>8</v>
      </c>
      <c r="I112">
        <v>15</v>
      </c>
      <c r="K112">
        <v>177</v>
      </c>
      <c r="L112">
        <v>1</v>
      </c>
      <c r="M112">
        <v>5.5</v>
      </c>
      <c r="N112">
        <v>5.5</v>
      </c>
      <c r="O112">
        <v>3.7397260273972606</v>
      </c>
      <c r="Q112">
        <v>1</v>
      </c>
      <c r="S112" t="s">
        <v>44</v>
      </c>
      <c r="T112" t="s">
        <v>87</v>
      </c>
      <c r="U112" t="s">
        <v>46</v>
      </c>
      <c r="V112" t="s">
        <v>35</v>
      </c>
      <c r="X112" t="s">
        <v>37</v>
      </c>
      <c r="Y112" t="s">
        <v>37</v>
      </c>
      <c r="Z112" t="s">
        <v>38</v>
      </c>
      <c r="AA112">
        <v>5</v>
      </c>
      <c r="AB112">
        <v>3.7397260273972606</v>
      </c>
      <c r="AC112">
        <v>5</v>
      </c>
      <c r="AD112" t="s">
        <v>283</v>
      </c>
      <c r="AE112" t="s">
        <v>40</v>
      </c>
      <c r="AF112" t="s">
        <v>41</v>
      </c>
      <c r="AG112">
        <v>1</v>
      </c>
      <c r="AH112" t="s">
        <v>333</v>
      </c>
    </row>
    <row r="113" spans="1:34" x14ac:dyDescent="0.2">
      <c r="A113">
        <v>311180</v>
      </c>
      <c r="B113" t="s">
        <v>278</v>
      </c>
      <c r="C113">
        <v>2</v>
      </c>
      <c r="D113" t="s">
        <v>448</v>
      </c>
      <c r="E113" t="s">
        <v>449</v>
      </c>
      <c r="F113">
        <v>1.8356164383561644</v>
      </c>
      <c r="H113">
        <v>8</v>
      </c>
      <c r="I113">
        <v>12</v>
      </c>
      <c r="K113">
        <v>113</v>
      </c>
      <c r="L113">
        <v>1</v>
      </c>
      <c r="M113">
        <v>5.5</v>
      </c>
      <c r="N113">
        <v>5.5</v>
      </c>
      <c r="O113">
        <v>3.6712328767123288</v>
      </c>
      <c r="Q113">
        <v>1</v>
      </c>
      <c r="S113" t="s">
        <v>44</v>
      </c>
      <c r="T113" t="s">
        <v>87</v>
      </c>
      <c r="U113" t="s">
        <v>46</v>
      </c>
      <c r="V113" t="s">
        <v>35</v>
      </c>
      <c r="X113" t="s">
        <v>37</v>
      </c>
      <c r="Y113" t="s">
        <v>37</v>
      </c>
      <c r="Z113" t="s">
        <v>38</v>
      </c>
      <c r="AA113">
        <v>2</v>
      </c>
      <c r="AB113">
        <v>3.6712328767123288</v>
      </c>
      <c r="AC113">
        <v>2</v>
      </c>
      <c r="AD113" t="s">
        <v>282</v>
      </c>
      <c r="AE113" t="s">
        <v>40</v>
      </c>
      <c r="AF113" t="s">
        <v>41</v>
      </c>
      <c r="AG113">
        <v>1</v>
      </c>
      <c r="AH113" t="s">
        <v>333</v>
      </c>
    </row>
    <row r="114" spans="1:34" x14ac:dyDescent="0.2">
      <c r="A114">
        <v>311180</v>
      </c>
      <c r="B114" t="s">
        <v>278</v>
      </c>
      <c r="C114">
        <v>0.8</v>
      </c>
      <c r="D114" t="s">
        <v>450</v>
      </c>
      <c r="E114" t="s">
        <v>412</v>
      </c>
      <c r="F114">
        <v>2</v>
      </c>
      <c r="H114">
        <v>8</v>
      </c>
      <c r="I114">
        <v>10</v>
      </c>
      <c r="K114">
        <v>79</v>
      </c>
      <c r="L114">
        <v>1</v>
      </c>
      <c r="M114">
        <v>5.5</v>
      </c>
      <c r="N114">
        <v>5.5</v>
      </c>
      <c r="O114">
        <v>1.6</v>
      </c>
      <c r="Q114">
        <v>1</v>
      </c>
      <c r="S114" t="s">
        <v>44</v>
      </c>
      <c r="T114" t="s">
        <v>87</v>
      </c>
      <c r="U114" t="s">
        <v>46</v>
      </c>
      <c r="V114" t="s">
        <v>35</v>
      </c>
      <c r="X114" t="s">
        <v>37</v>
      </c>
      <c r="Y114" t="s">
        <v>37</v>
      </c>
      <c r="Z114" t="s">
        <v>38</v>
      </c>
      <c r="AA114">
        <v>0.8</v>
      </c>
      <c r="AB114">
        <v>1.6</v>
      </c>
      <c r="AC114">
        <v>0.8</v>
      </c>
      <c r="AD114" t="s">
        <v>279</v>
      </c>
      <c r="AE114" t="s">
        <v>40</v>
      </c>
      <c r="AF114" t="s">
        <v>41</v>
      </c>
      <c r="AG114">
        <v>1</v>
      </c>
      <c r="AH114" t="s">
        <v>333</v>
      </c>
    </row>
    <row r="115" spans="1:34" x14ac:dyDescent="0.2">
      <c r="A115">
        <v>311180</v>
      </c>
      <c r="B115" t="s">
        <v>278</v>
      </c>
      <c r="C115">
        <v>1.6</v>
      </c>
      <c r="D115" t="s">
        <v>449</v>
      </c>
      <c r="E115" t="s">
        <v>450</v>
      </c>
      <c r="F115">
        <v>4.8328767123287673</v>
      </c>
      <c r="H115">
        <v>8</v>
      </c>
      <c r="I115">
        <v>6</v>
      </c>
      <c r="K115">
        <v>28</v>
      </c>
      <c r="L115">
        <v>1</v>
      </c>
      <c r="M115">
        <v>2</v>
      </c>
      <c r="N115">
        <v>2</v>
      </c>
      <c r="O115">
        <v>7.732602739726028</v>
      </c>
      <c r="Q115">
        <v>1</v>
      </c>
      <c r="S115" t="s">
        <v>44</v>
      </c>
      <c r="T115" t="s">
        <v>87</v>
      </c>
      <c r="U115" t="s">
        <v>46</v>
      </c>
      <c r="V115" t="s">
        <v>35</v>
      </c>
      <c r="X115" t="s">
        <v>50</v>
      </c>
      <c r="Y115" t="s">
        <v>51</v>
      </c>
      <c r="Z115" t="s">
        <v>38</v>
      </c>
      <c r="AA115">
        <v>-1.6</v>
      </c>
      <c r="AB115">
        <v>-7.732602739726028</v>
      </c>
      <c r="AC115">
        <v>1.6</v>
      </c>
      <c r="AD115" t="s">
        <v>280</v>
      </c>
      <c r="AE115" t="s">
        <v>40</v>
      </c>
      <c r="AF115" t="s">
        <v>41</v>
      </c>
      <c r="AG115">
        <v>4</v>
      </c>
      <c r="AH115" t="s">
        <v>332</v>
      </c>
    </row>
    <row r="116" spans="1:34" x14ac:dyDescent="0.2">
      <c r="A116">
        <v>311180</v>
      </c>
      <c r="B116" t="s">
        <v>278</v>
      </c>
      <c r="C116">
        <v>1.6</v>
      </c>
      <c r="D116" t="s">
        <v>447</v>
      </c>
      <c r="E116" t="s">
        <v>448</v>
      </c>
      <c r="F116">
        <v>5.087671232876712</v>
      </c>
      <c r="H116">
        <v>8</v>
      </c>
      <c r="I116">
        <v>5</v>
      </c>
      <c r="K116">
        <v>20</v>
      </c>
      <c r="L116">
        <v>1</v>
      </c>
      <c r="M116">
        <v>2</v>
      </c>
      <c r="N116">
        <v>2</v>
      </c>
      <c r="O116">
        <v>8.1402739726027402</v>
      </c>
      <c r="Q116">
        <v>1</v>
      </c>
      <c r="S116" t="s">
        <v>44</v>
      </c>
      <c r="T116" t="s">
        <v>87</v>
      </c>
      <c r="U116" t="s">
        <v>46</v>
      </c>
      <c r="V116" t="s">
        <v>35</v>
      </c>
      <c r="X116" t="s">
        <v>50</v>
      </c>
      <c r="Y116" t="s">
        <v>51</v>
      </c>
      <c r="Z116" t="s">
        <v>38</v>
      </c>
      <c r="AA116">
        <v>-1.6</v>
      </c>
      <c r="AB116">
        <v>-8.1402739726027402</v>
      </c>
      <c r="AC116">
        <v>1.6</v>
      </c>
      <c r="AD116" t="s">
        <v>281</v>
      </c>
      <c r="AE116" t="s">
        <v>40</v>
      </c>
      <c r="AF116" t="s">
        <v>41</v>
      </c>
      <c r="AG116">
        <v>4</v>
      </c>
      <c r="AH116" t="s">
        <v>332</v>
      </c>
    </row>
    <row r="117" spans="1:34" x14ac:dyDescent="0.2">
      <c r="A117">
        <v>222052</v>
      </c>
      <c r="B117" t="s">
        <v>284</v>
      </c>
      <c r="C117">
        <v>0.9</v>
      </c>
      <c r="D117" t="s">
        <v>431</v>
      </c>
      <c r="E117" t="s">
        <v>371</v>
      </c>
      <c r="F117">
        <v>3</v>
      </c>
      <c r="I117">
        <v>22</v>
      </c>
      <c r="K117">
        <v>380</v>
      </c>
      <c r="L117">
        <v>1</v>
      </c>
      <c r="M117">
        <v>4.4000000000000004</v>
      </c>
      <c r="N117">
        <v>4.4000000000000004</v>
      </c>
      <c r="O117">
        <v>2.7</v>
      </c>
      <c r="Q117">
        <v>1</v>
      </c>
      <c r="S117" t="s">
        <v>67</v>
      </c>
      <c r="T117" t="s">
        <v>60</v>
      </c>
      <c r="U117" t="s">
        <v>68</v>
      </c>
      <c r="V117" t="s">
        <v>109</v>
      </c>
      <c r="X117" t="s">
        <v>50</v>
      </c>
      <c r="Y117" t="s">
        <v>51</v>
      </c>
      <c r="Z117" t="s">
        <v>48</v>
      </c>
      <c r="AA117">
        <v>-0.9</v>
      </c>
      <c r="AB117">
        <v>-2.7</v>
      </c>
      <c r="AC117">
        <v>0.9</v>
      </c>
      <c r="AD117" t="s">
        <v>285</v>
      </c>
      <c r="AE117" t="s">
        <v>40</v>
      </c>
      <c r="AF117" t="s">
        <v>41</v>
      </c>
      <c r="AG117">
        <v>4</v>
      </c>
      <c r="AH117" t="s">
        <v>336</v>
      </c>
    </row>
    <row r="118" spans="1:34" x14ac:dyDescent="0.2">
      <c r="A118">
        <v>999999</v>
      </c>
      <c r="B118" t="s">
        <v>286</v>
      </c>
      <c r="C118">
        <v>3</v>
      </c>
      <c r="D118" t="s">
        <v>431</v>
      </c>
      <c r="E118" t="s">
        <v>356</v>
      </c>
      <c r="F118">
        <v>2</v>
      </c>
      <c r="I118">
        <v>30</v>
      </c>
      <c r="K118">
        <v>707</v>
      </c>
      <c r="L118">
        <v>1</v>
      </c>
      <c r="M118">
        <v>16</v>
      </c>
      <c r="N118">
        <v>16</v>
      </c>
      <c r="O118">
        <v>6</v>
      </c>
      <c r="Q118">
        <v>1</v>
      </c>
      <c r="T118" t="s">
        <v>176</v>
      </c>
      <c r="U118" t="s">
        <v>176</v>
      </c>
      <c r="V118" t="s">
        <v>176</v>
      </c>
      <c r="W118" t="s">
        <v>36</v>
      </c>
      <c r="X118" t="s">
        <v>37</v>
      </c>
      <c r="Y118" t="s">
        <v>37</v>
      </c>
      <c r="AA118">
        <v>3</v>
      </c>
      <c r="AB118">
        <v>6</v>
      </c>
      <c r="AC118">
        <v>3</v>
      </c>
      <c r="AD118" t="s">
        <v>287</v>
      </c>
      <c r="AE118" t="s">
        <v>40</v>
      </c>
      <c r="AF118" t="s">
        <v>41</v>
      </c>
      <c r="AG118">
        <v>1</v>
      </c>
      <c r="AH118" t="s">
        <v>333</v>
      </c>
    </row>
    <row r="119" spans="1:34" x14ac:dyDescent="0.2">
      <c r="A119">
        <v>341021</v>
      </c>
      <c r="B119" t="s">
        <v>288</v>
      </c>
      <c r="C119">
        <v>0.2</v>
      </c>
      <c r="D119" t="s">
        <v>451</v>
      </c>
      <c r="E119" t="s">
        <v>386</v>
      </c>
      <c r="F119">
        <v>94</v>
      </c>
      <c r="I119">
        <v>40</v>
      </c>
      <c r="K119">
        <v>1257</v>
      </c>
      <c r="L119">
        <v>1</v>
      </c>
      <c r="M119">
        <v>19</v>
      </c>
      <c r="N119">
        <v>19</v>
      </c>
      <c r="O119">
        <v>18.8</v>
      </c>
      <c r="Q119">
        <v>1</v>
      </c>
      <c r="S119" t="s">
        <v>81</v>
      </c>
      <c r="T119" t="s">
        <v>60</v>
      </c>
      <c r="U119" t="s">
        <v>61</v>
      </c>
      <c r="V119" t="s">
        <v>109</v>
      </c>
      <c r="X119" t="s">
        <v>37</v>
      </c>
      <c r="Z119" t="s">
        <v>48</v>
      </c>
      <c r="AA119">
        <v>0.2</v>
      </c>
      <c r="AB119">
        <v>18.8</v>
      </c>
      <c r="AC119">
        <v>0.2</v>
      </c>
      <c r="AD119" t="s">
        <v>289</v>
      </c>
      <c r="AE119" t="s">
        <v>40</v>
      </c>
      <c r="AF119" t="s">
        <v>41</v>
      </c>
      <c r="AG119">
        <v>4</v>
      </c>
      <c r="AH119" t="s">
        <v>330</v>
      </c>
    </row>
    <row r="120" spans="1:34" x14ac:dyDescent="0.2">
      <c r="A120">
        <v>360050</v>
      </c>
      <c r="B120" t="s">
        <v>290</v>
      </c>
      <c r="C120">
        <v>41.714285714285715</v>
      </c>
      <c r="D120" t="s">
        <v>452</v>
      </c>
      <c r="E120" t="s">
        <v>453</v>
      </c>
      <c r="F120">
        <v>9.5890410958904104E-2</v>
      </c>
      <c r="I120">
        <v>1</v>
      </c>
      <c r="K120">
        <v>1</v>
      </c>
      <c r="L120">
        <v>1</v>
      </c>
      <c r="M120">
        <v>0.2</v>
      </c>
      <c r="N120">
        <v>0.9</v>
      </c>
      <c r="O120">
        <v>4</v>
      </c>
      <c r="Q120">
        <v>2</v>
      </c>
      <c r="T120" t="s">
        <v>45</v>
      </c>
      <c r="U120" t="s">
        <v>187</v>
      </c>
      <c r="V120" t="s">
        <v>35</v>
      </c>
      <c r="W120" t="s">
        <v>36</v>
      </c>
      <c r="X120" t="s">
        <v>37</v>
      </c>
      <c r="Y120" t="s">
        <v>37</v>
      </c>
      <c r="Z120" t="s">
        <v>98</v>
      </c>
      <c r="AA120">
        <v>41.714285714285715</v>
      </c>
      <c r="AB120">
        <v>4</v>
      </c>
      <c r="AC120">
        <v>41.714285714285715</v>
      </c>
      <c r="AD120" t="s">
        <v>292</v>
      </c>
      <c r="AE120" t="s">
        <v>40</v>
      </c>
      <c r="AF120" t="s">
        <v>41</v>
      </c>
      <c r="AG120">
        <v>7</v>
      </c>
      <c r="AH120" t="s">
        <v>334</v>
      </c>
    </row>
    <row r="121" spans="1:34" x14ac:dyDescent="0.2">
      <c r="A121">
        <v>360050</v>
      </c>
      <c r="B121" t="s">
        <v>290</v>
      </c>
      <c r="C121">
        <v>10.428571428571429</v>
      </c>
      <c r="D121" t="s">
        <v>454</v>
      </c>
      <c r="E121" t="s">
        <v>455</v>
      </c>
      <c r="F121">
        <v>0.28767123287671231</v>
      </c>
      <c r="I121">
        <v>1</v>
      </c>
      <c r="K121">
        <v>1</v>
      </c>
      <c r="L121">
        <v>1</v>
      </c>
      <c r="M121">
        <v>0.2</v>
      </c>
      <c r="N121">
        <v>0.8</v>
      </c>
      <c r="O121">
        <v>3</v>
      </c>
      <c r="Q121">
        <v>2</v>
      </c>
      <c r="T121" t="s">
        <v>45</v>
      </c>
      <c r="U121" t="s">
        <v>187</v>
      </c>
      <c r="V121" t="s">
        <v>35</v>
      </c>
      <c r="W121" t="s">
        <v>36</v>
      </c>
      <c r="X121" t="s">
        <v>37</v>
      </c>
      <c r="Y121" t="s">
        <v>37</v>
      </c>
      <c r="Z121" t="s">
        <v>98</v>
      </c>
      <c r="AA121">
        <v>10.428571428571429</v>
      </c>
      <c r="AB121">
        <v>3</v>
      </c>
      <c r="AC121">
        <v>10.428571428571429</v>
      </c>
      <c r="AD121" t="s">
        <v>291</v>
      </c>
      <c r="AE121" t="s">
        <v>40</v>
      </c>
      <c r="AF121" t="s">
        <v>41</v>
      </c>
      <c r="AG121">
        <v>7</v>
      </c>
      <c r="AH121" t="s">
        <v>334</v>
      </c>
    </row>
    <row r="122" spans="1:34" x14ac:dyDescent="0.2">
      <c r="A122">
        <v>313040</v>
      </c>
      <c r="B122" t="s">
        <v>293</v>
      </c>
      <c r="C122">
        <v>5</v>
      </c>
      <c r="D122" t="s">
        <v>373</v>
      </c>
      <c r="E122" t="s">
        <v>374</v>
      </c>
      <c r="F122">
        <v>1</v>
      </c>
      <c r="H122">
        <v>20</v>
      </c>
      <c r="I122">
        <v>35</v>
      </c>
      <c r="K122">
        <v>962</v>
      </c>
      <c r="L122">
        <v>1</v>
      </c>
      <c r="M122">
        <v>10</v>
      </c>
      <c r="N122">
        <v>14</v>
      </c>
      <c r="O122">
        <v>5</v>
      </c>
      <c r="Q122">
        <v>1</v>
      </c>
      <c r="T122" t="s">
        <v>45</v>
      </c>
      <c r="U122" t="s">
        <v>34</v>
      </c>
      <c r="V122" t="s">
        <v>35</v>
      </c>
      <c r="W122" t="s">
        <v>36</v>
      </c>
      <c r="X122" t="s">
        <v>37</v>
      </c>
      <c r="Y122" t="s">
        <v>37</v>
      </c>
      <c r="Z122" t="s">
        <v>38</v>
      </c>
      <c r="AA122">
        <v>5</v>
      </c>
      <c r="AB122">
        <v>5</v>
      </c>
      <c r="AC122">
        <v>5</v>
      </c>
      <c r="AD122" t="s">
        <v>294</v>
      </c>
      <c r="AE122" t="s">
        <v>40</v>
      </c>
      <c r="AF122" t="s">
        <v>41</v>
      </c>
      <c r="AG122">
        <v>1</v>
      </c>
      <c r="AH122" t="s">
        <v>333</v>
      </c>
    </row>
    <row r="123" spans="1:34" x14ac:dyDescent="0.2">
      <c r="A123">
        <v>321050</v>
      </c>
      <c r="B123" t="s">
        <v>295</v>
      </c>
      <c r="C123">
        <v>1.5</v>
      </c>
      <c r="D123" t="s">
        <v>355</v>
      </c>
      <c r="E123" t="s">
        <v>373</v>
      </c>
      <c r="F123">
        <v>12</v>
      </c>
      <c r="I123">
        <v>10</v>
      </c>
      <c r="K123">
        <v>79</v>
      </c>
      <c r="L123">
        <v>1</v>
      </c>
      <c r="M123">
        <v>12</v>
      </c>
      <c r="N123">
        <v>12</v>
      </c>
      <c r="O123">
        <v>18</v>
      </c>
      <c r="Q123">
        <v>2</v>
      </c>
      <c r="S123" t="s">
        <v>135</v>
      </c>
      <c r="T123" t="s">
        <v>45</v>
      </c>
      <c r="U123" t="s">
        <v>34</v>
      </c>
      <c r="V123" t="s">
        <v>232</v>
      </c>
      <c r="X123" t="s">
        <v>50</v>
      </c>
      <c r="Y123" t="s">
        <v>51</v>
      </c>
      <c r="Z123" t="s">
        <v>77</v>
      </c>
      <c r="AA123">
        <v>-1.5</v>
      </c>
      <c r="AB123">
        <v>-18</v>
      </c>
      <c r="AC123">
        <v>1.5</v>
      </c>
      <c r="AD123" t="s">
        <v>296</v>
      </c>
      <c r="AE123" t="s">
        <v>40</v>
      </c>
      <c r="AF123" t="s">
        <v>41</v>
      </c>
      <c r="AG123">
        <v>4</v>
      </c>
      <c r="AH123" t="s">
        <v>335</v>
      </c>
    </row>
    <row r="124" spans="1:34" x14ac:dyDescent="0.2">
      <c r="A124">
        <v>222110</v>
      </c>
      <c r="B124" t="s">
        <v>297</v>
      </c>
      <c r="C124">
        <v>1.5333333333333332</v>
      </c>
      <c r="D124" t="s">
        <v>359</v>
      </c>
      <c r="E124" t="s">
        <v>358</v>
      </c>
      <c r="F124">
        <v>3</v>
      </c>
      <c r="I124">
        <v>5</v>
      </c>
      <c r="K124">
        <v>20</v>
      </c>
      <c r="L124">
        <v>1</v>
      </c>
      <c r="M124">
        <v>2</v>
      </c>
      <c r="N124">
        <v>2</v>
      </c>
      <c r="O124">
        <v>4.5999999999999996</v>
      </c>
      <c r="Q124">
        <v>1</v>
      </c>
      <c r="T124" t="s">
        <v>60</v>
      </c>
      <c r="U124" t="s">
        <v>68</v>
      </c>
      <c r="V124" t="s">
        <v>298</v>
      </c>
      <c r="W124" t="s">
        <v>36</v>
      </c>
      <c r="X124" t="s">
        <v>50</v>
      </c>
      <c r="Y124" t="s">
        <v>51</v>
      </c>
      <c r="Z124" t="s">
        <v>71</v>
      </c>
      <c r="AA124">
        <v>-1.5333333333333332</v>
      </c>
      <c r="AB124">
        <v>-4.5999999999999996</v>
      </c>
      <c r="AC124">
        <v>1.5333333333333332</v>
      </c>
      <c r="AD124" t="s">
        <v>299</v>
      </c>
      <c r="AE124" t="s">
        <v>40</v>
      </c>
      <c r="AF124" t="s">
        <v>41</v>
      </c>
      <c r="AG124">
        <v>4</v>
      </c>
      <c r="AH124" t="s">
        <v>329</v>
      </c>
    </row>
    <row r="125" spans="1:34" x14ac:dyDescent="0.2">
      <c r="A125">
        <v>311080</v>
      </c>
      <c r="B125" t="s">
        <v>300</v>
      </c>
      <c r="C125">
        <v>58.870967741935488</v>
      </c>
      <c r="D125" t="s">
        <v>456</v>
      </c>
      <c r="E125" t="s">
        <v>457</v>
      </c>
      <c r="F125">
        <v>8.4931506849315067E-2</v>
      </c>
      <c r="H125">
        <v>6</v>
      </c>
      <c r="I125">
        <v>16</v>
      </c>
      <c r="K125">
        <v>201</v>
      </c>
      <c r="L125">
        <v>1.2</v>
      </c>
      <c r="M125">
        <v>5</v>
      </c>
      <c r="N125">
        <v>8</v>
      </c>
      <c r="O125">
        <v>5</v>
      </c>
      <c r="Q125">
        <v>1</v>
      </c>
      <c r="T125" t="s">
        <v>87</v>
      </c>
      <c r="U125" t="s">
        <v>46</v>
      </c>
      <c r="V125" t="s">
        <v>47</v>
      </c>
      <c r="W125" t="s">
        <v>36</v>
      </c>
      <c r="X125" t="s">
        <v>37</v>
      </c>
      <c r="Y125" t="s">
        <v>37</v>
      </c>
      <c r="Z125" t="s">
        <v>38</v>
      </c>
      <c r="AA125">
        <v>58.870967741935488</v>
      </c>
      <c r="AB125">
        <v>5</v>
      </c>
      <c r="AC125">
        <v>58.870967741935488</v>
      </c>
      <c r="AD125" t="s">
        <v>301</v>
      </c>
      <c r="AE125" t="s">
        <v>40</v>
      </c>
      <c r="AF125" t="s">
        <v>41</v>
      </c>
      <c r="AG125">
        <v>2</v>
      </c>
      <c r="AH125" t="s">
        <v>333</v>
      </c>
    </row>
    <row r="126" spans="1:34" x14ac:dyDescent="0.2">
      <c r="A126">
        <v>213030</v>
      </c>
      <c r="B126" t="s">
        <v>302</v>
      </c>
      <c r="C126">
        <v>1</v>
      </c>
      <c r="D126" t="s">
        <v>376</v>
      </c>
      <c r="E126" t="s">
        <v>371</v>
      </c>
      <c r="F126">
        <v>7</v>
      </c>
      <c r="I126">
        <v>12</v>
      </c>
      <c r="K126">
        <v>113</v>
      </c>
      <c r="L126">
        <v>1</v>
      </c>
      <c r="M126">
        <v>4.5</v>
      </c>
      <c r="N126">
        <v>4.5</v>
      </c>
      <c r="O126">
        <v>7</v>
      </c>
      <c r="Q126">
        <v>1</v>
      </c>
      <c r="S126" t="s">
        <v>67</v>
      </c>
      <c r="T126" t="s">
        <v>60</v>
      </c>
      <c r="U126" t="s">
        <v>117</v>
      </c>
      <c r="V126" t="s">
        <v>47</v>
      </c>
      <c r="X126" t="s">
        <v>50</v>
      </c>
      <c r="Y126" t="s">
        <v>51</v>
      </c>
      <c r="Z126" t="s">
        <v>250</v>
      </c>
      <c r="AA126">
        <v>-1</v>
      </c>
      <c r="AB126">
        <v>-7</v>
      </c>
      <c r="AC126">
        <v>1</v>
      </c>
      <c r="AD126" t="s">
        <v>303</v>
      </c>
      <c r="AE126" t="s">
        <v>40</v>
      </c>
      <c r="AF126" t="s">
        <v>41</v>
      </c>
      <c r="AG126">
        <v>4</v>
      </c>
      <c r="AH126" t="s">
        <v>329</v>
      </c>
    </row>
    <row r="127" spans="1:34" x14ac:dyDescent="0.2">
      <c r="A127">
        <v>322070</v>
      </c>
      <c r="B127" t="s">
        <v>304</v>
      </c>
      <c r="C127">
        <v>1.7857142857142858</v>
      </c>
      <c r="D127" t="s">
        <v>421</v>
      </c>
      <c r="E127" t="s">
        <v>371</v>
      </c>
      <c r="F127">
        <v>14</v>
      </c>
      <c r="H127">
        <v>5</v>
      </c>
      <c r="I127">
        <v>20</v>
      </c>
      <c r="J127">
        <v>10</v>
      </c>
      <c r="K127">
        <v>157</v>
      </c>
      <c r="L127">
        <v>2</v>
      </c>
      <c r="M127">
        <v>6</v>
      </c>
      <c r="N127">
        <v>6</v>
      </c>
      <c r="O127">
        <v>25</v>
      </c>
      <c r="Q127">
        <v>1</v>
      </c>
      <c r="T127" t="s">
        <v>82</v>
      </c>
      <c r="U127" t="s">
        <v>34</v>
      </c>
      <c r="V127" t="s">
        <v>35</v>
      </c>
      <c r="W127" t="s">
        <v>36</v>
      </c>
      <c r="X127" t="s">
        <v>37</v>
      </c>
      <c r="Y127" t="s">
        <v>37</v>
      </c>
      <c r="Z127" t="s">
        <v>38</v>
      </c>
      <c r="AA127">
        <v>1.7857142857142858</v>
      </c>
      <c r="AB127">
        <v>25</v>
      </c>
      <c r="AC127">
        <v>1.7857142857142858</v>
      </c>
      <c r="AD127" t="s">
        <v>305</v>
      </c>
      <c r="AE127" t="s">
        <v>40</v>
      </c>
      <c r="AF127" t="s">
        <v>41</v>
      </c>
      <c r="AG127">
        <v>1</v>
      </c>
      <c r="AH127" t="s">
        <v>329</v>
      </c>
    </row>
    <row r="128" spans="1:34" x14ac:dyDescent="0.2">
      <c r="A128">
        <v>241080</v>
      </c>
      <c r="B128" t="s">
        <v>306</v>
      </c>
      <c r="C128">
        <v>2</v>
      </c>
      <c r="D128" t="s">
        <v>458</v>
      </c>
      <c r="E128" t="s">
        <v>459</v>
      </c>
      <c r="F128">
        <v>2.526027397260274</v>
      </c>
      <c r="K128">
        <v>4</v>
      </c>
      <c r="L128">
        <v>1</v>
      </c>
      <c r="M128">
        <v>0.5</v>
      </c>
      <c r="N128">
        <v>0.5</v>
      </c>
      <c r="O128">
        <v>5.0520547945205481</v>
      </c>
      <c r="Q128">
        <v>2</v>
      </c>
      <c r="S128" t="s">
        <v>254</v>
      </c>
      <c r="T128" t="s">
        <v>87</v>
      </c>
      <c r="U128" t="s">
        <v>34</v>
      </c>
      <c r="V128" t="s">
        <v>35</v>
      </c>
      <c r="X128" t="s">
        <v>50</v>
      </c>
      <c r="Y128" t="s">
        <v>51</v>
      </c>
      <c r="Z128" t="s">
        <v>307</v>
      </c>
      <c r="AA128">
        <v>-2</v>
      </c>
      <c r="AB128">
        <v>-5.0520547945205481</v>
      </c>
      <c r="AC128">
        <v>2</v>
      </c>
      <c r="AD128" t="s">
        <v>308</v>
      </c>
      <c r="AE128" t="s">
        <v>40</v>
      </c>
      <c r="AF128" t="s">
        <v>41</v>
      </c>
      <c r="AG128">
        <v>5</v>
      </c>
      <c r="AH128" t="s">
        <v>336</v>
      </c>
    </row>
    <row r="129" spans="1:34" x14ac:dyDescent="0.2">
      <c r="A129">
        <v>372050</v>
      </c>
      <c r="B129" t="s">
        <v>309</v>
      </c>
      <c r="C129">
        <v>1.2</v>
      </c>
      <c r="D129" t="s">
        <v>376</v>
      </c>
      <c r="E129" t="s">
        <v>431</v>
      </c>
      <c r="F129">
        <v>4</v>
      </c>
      <c r="I129">
        <v>20</v>
      </c>
      <c r="K129">
        <v>314</v>
      </c>
      <c r="L129">
        <v>1</v>
      </c>
      <c r="M129">
        <v>8</v>
      </c>
      <c r="N129">
        <v>8</v>
      </c>
      <c r="O129">
        <v>4.8</v>
      </c>
      <c r="Q129">
        <v>1</v>
      </c>
      <c r="S129" t="s">
        <v>84</v>
      </c>
      <c r="T129" t="s">
        <v>45</v>
      </c>
      <c r="U129" t="s">
        <v>61</v>
      </c>
      <c r="V129" t="s">
        <v>69</v>
      </c>
      <c r="X129" t="s">
        <v>50</v>
      </c>
      <c r="Y129" t="s">
        <v>51</v>
      </c>
      <c r="Z129" t="s">
        <v>48</v>
      </c>
      <c r="AA129">
        <v>-1.2</v>
      </c>
      <c r="AB129">
        <v>-4.8</v>
      </c>
      <c r="AC129">
        <v>1.2</v>
      </c>
      <c r="AD129" t="s">
        <v>311</v>
      </c>
      <c r="AE129" t="s">
        <v>40</v>
      </c>
      <c r="AF129" t="s">
        <v>41</v>
      </c>
      <c r="AG129">
        <v>4</v>
      </c>
      <c r="AH129" t="s">
        <v>329</v>
      </c>
    </row>
    <row r="130" spans="1:34" x14ac:dyDescent="0.2">
      <c r="A130">
        <v>372050</v>
      </c>
      <c r="B130" t="s">
        <v>309</v>
      </c>
      <c r="C130">
        <v>0.7</v>
      </c>
      <c r="D130" t="s">
        <v>357</v>
      </c>
      <c r="E130" t="s">
        <v>358</v>
      </c>
      <c r="F130">
        <v>7</v>
      </c>
      <c r="I130">
        <v>20</v>
      </c>
      <c r="K130">
        <v>314</v>
      </c>
      <c r="L130">
        <v>1</v>
      </c>
      <c r="M130">
        <v>8</v>
      </c>
      <c r="N130">
        <v>8</v>
      </c>
      <c r="O130">
        <v>4.8999999999999995</v>
      </c>
      <c r="Q130">
        <v>1</v>
      </c>
      <c r="S130" t="s">
        <v>84</v>
      </c>
      <c r="T130" t="s">
        <v>45</v>
      </c>
      <c r="U130" t="s">
        <v>61</v>
      </c>
      <c r="V130" t="s">
        <v>69</v>
      </c>
      <c r="X130" t="s">
        <v>50</v>
      </c>
      <c r="Y130" t="s">
        <v>51</v>
      </c>
      <c r="Z130" t="s">
        <v>48</v>
      </c>
      <c r="AA130">
        <v>-0.7</v>
      </c>
      <c r="AB130">
        <v>-4.8999999999999995</v>
      </c>
      <c r="AC130">
        <v>0.7</v>
      </c>
      <c r="AD130" t="s">
        <v>310</v>
      </c>
      <c r="AE130" t="s">
        <v>40</v>
      </c>
      <c r="AF130" t="s">
        <v>41</v>
      </c>
      <c r="AG130">
        <v>4</v>
      </c>
      <c r="AH130" t="s">
        <v>329</v>
      </c>
    </row>
    <row r="131" spans="1:34" x14ac:dyDescent="0.2">
      <c r="A131">
        <v>352080</v>
      </c>
      <c r="B131" t="s">
        <v>312</v>
      </c>
      <c r="C131">
        <v>70.192307692307693</v>
      </c>
      <c r="D131" t="s">
        <v>460</v>
      </c>
      <c r="E131" t="s">
        <v>461</v>
      </c>
      <c r="F131">
        <v>0.24931506849315069</v>
      </c>
      <c r="I131">
        <v>4</v>
      </c>
      <c r="J131">
        <v>1.5</v>
      </c>
      <c r="K131">
        <v>5</v>
      </c>
      <c r="L131">
        <v>2.6666666666666665</v>
      </c>
      <c r="M131">
        <v>2</v>
      </c>
      <c r="N131">
        <v>2</v>
      </c>
      <c r="O131">
        <v>17.5</v>
      </c>
      <c r="Q131">
        <v>2</v>
      </c>
      <c r="T131" t="s">
        <v>45</v>
      </c>
      <c r="U131" t="s">
        <v>34</v>
      </c>
      <c r="V131" t="s">
        <v>35</v>
      </c>
      <c r="W131" t="s">
        <v>36</v>
      </c>
      <c r="X131" t="s">
        <v>37</v>
      </c>
      <c r="Y131" t="s">
        <v>37</v>
      </c>
      <c r="Z131" t="s">
        <v>98</v>
      </c>
      <c r="AA131">
        <v>70.192307692307693</v>
      </c>
      <c r="AB131">
        <v>17.5</v>
      </c>
      <c r="AC131">
        <v>70.192307692307693</v>
      </c>
      <c r="AD131" t="s">
        <v>314</v>
      </c>
      <c r="AE131" t="s">
        <v>40</v>
      </c>
      <c r="AF131" t="s">
        <v>41</v>
      </c>
      <c r="AG131">
        <v>7</v>
      </c>
      <c r="AH131" t="s">
        <v>334</v>
      </c>
    </row>
    <row r="132" spans="1:34" x14ac:dyDescent="0.2">
      <c r="A132">
        <v>352080</v>
      </c>
      <c r="B132" t="s">
        <v>312</v>
      </c>
      <c r="C132">
        <v>0.8</v>
      </c>
      <c r="D132" t="s">
        <v>376</v>
      </c>
      <c r="E132" t="s">
        <v>356</v>
      </c>
      <c r="F132">
        <v>6</v>
      </c>
      <c r="I132">
        <v>25</v>
      </c>
      <c r="K132">
        <v>491</v>
      </c>
      <c r="L132">
        <v>1</v>
      </c>
      <c r="M132">
        <v>11.5</v>
      </c>
      <c r="N132">
        <v>11.5</v>
      </c>
      <c r="O132">
        <v>4.8000000000000007</v>
      </c>
      <c r="Q132">
        <v>2</v>
      </c>
      <c r="S132" t="s">
        <v>59</v>
      </c>
      <c r="T132" t="s">
        <v>45</v>
      </c>
      <c r="U132" t="s">
        <v>34</v>
      </c>
      <c r="V132" t="s">
        <v>35</v>
      </c>
      <c r="X132" t="s">
        <v>37</v>
      </c>
      <c r="Y132" t="s">
        <v>37</v>
      </c>
      <c r="Z132" t="s">
        <v>48</v>
      </c>
      <c r="AA132">
        <v>0.8</v>
      </c>
      <c r="AB132">
        <v>4.8000000000000007</v>
      </c>
      <c r="AC132">
        <v>0.8</v>
      </c>
      <c r="AD132" t="s">
        <v>313</v>
      </c>
      <c r="AE132" t="s">
        <v>40</v>
      </c>
      <c r="AF132" t="s">
        <v>41</v>
      </c>
      <c r="AG132">
        <v>1</v>
      </c>
      <c r="AH132" t="s">
        <v>333</v>
      </c>
    </row>
    <row r="133" spans="1:34" x14ac:dyDescent="0.2">
      <c r="A133">
        <v>312130</v>
      </c>
      <c r="B133" t="s">
        <v>315</v>
      </c>
      <c r="C133">
        <v>10</v>
      </c>
      <c r="D133" t="s">
        <v>421</v>
      </c>
      <c r="E133" t="s">
        <v>352</v>
      </c>
      <c r="F133">
        <v>2</v>
      </c>
      <c r="I133">
        <v>30</v>
      </c>
      <c r="K133">
        <v>707</v>
      </c>
      <c r="L133">
        <v>1</v>
      </c>
      <c r="M133">
        <v>7</v>
      </c>
      <c r="N133">
        <v>7</v>
      </c>
      <c r="O133">
        <v>20</v>
      </c>
      <c r="Q133">
        <v>1</v>
      </c>
      <c r="T133" t="s">
        <v>45</v>
      </c>
      <c r="U133" t="s">
        <v>34</v>
      </c>
      <c r="V133" t="s">
        <v>35</v>
      </c>
      <c r="W133" t="s">
        <v>36</v>
      </c>
      <c r="X133" t="s">
        <v>37</v>
      </c>
      <c r="Y133" t="s">
        <v>37</v>
      </c>
      <c r="Z133" t="s">
        <v>38</v>
      </c>
      <c r="AA133">
        <v>10</v>
      </c>
      <c r="AB133">
        <v>20</v>
      </c>
      <c r="AC133">
        <v>10</v>
      </c>
      <c r="AD133" t="s">
        <v>316</v>
      </c>
      <c r="AE133" t="s">
        <v>40</v>
      </c>
      <c r="AF133" t="s">
        <v>41</v>
      </c>
      <c r="AG133">
        <v>1</v>
      </c>
      <c r="AH133" t="s">
        <v>333</v>
      </c>
    </row>
    <row r="134" spans="1:34" x14ac:dyDescent="0.2">
      <c r="A134">
        <v>355838</v>
      </c>
      <c r="B134" t="s">
        <v>317</v>
      </c>
      <c r="C134">
        <v>1</v>
      </c>
      <c r="D134" t="s">
        <v>355</v>
      </c>
      <c r="E134" t="s">
        <v>396</v>
      </c>
      <c r="F134">
        <v>19</v>
      </c>
      <c r="I134">
        <v>70</v>
      </c>
      <c r="K134">
        <v>3848</v>
      </c>
      <c r="L134">
        <v>1</v>
      </c>
      <c r="M134">
        <v>15</v>
      </c>
      <c r="N134">
        <v>17</v>
      </c>
      <c r="O134">
        <v>19</v>
      </c>
      <c r="Q134">
        <v>1</v>
      </c>
      <c r="S134" t="s">
        <v>59</v>
      </c>
      <c r="T134" t="s">
        <v>45</v>
      </c>
      <c r="U134" t="s">
        <v>34</v>
      </c>
      <c r="V134" t="s">
        <v>176</v>
      </c>
      <c r="X134" t="s">
        <v>37</v>
      </c>
      <c r="Y134" t="s">
        <v>37</v>
      </c>
      <c r="Z134" t="s">
        <v>38</v>
      </c>
      <c r="AA134">
        <v>1</v>
      </c>
      <c r="AB134">
        <v>19</v>
      </c>
      <c r="AC134">
        <v>1</v>
      </c>
      <c r="AD134" t="s">
        <v>318</v>
      </c>
      <c r="AE134" t="s">
        <v>40</v>
      </c>
      <c r="AF134" t="s">
        <v>41</v>
      </c>
      <c r="AG134">
        <v>1</v>
      </c>
      <c r="AH134" t="s">
        <v>330</v>
      </c>
    </row>
    <row r="135" spans="1:34" x14ac:dyDescent="0.2">
      <c r="A135">
        <v>300170</v>
      </c>
      <c r="B135" t="s">
        <v>319</v>
      </c>
      <c r="C135">
        <v>5.0694444444444446</v>
      </c>
      <c r="D135" t="s">
        <v>462</v>
      </c>
      <c r="E135" t="s">
        <v>463</v>
      </c>
      <c r="F135">
        <v>2.9589041095890409</v>
      </c>
      <c r="I135">
        <v>15</v>
      </c>
      <c r="K135">
        <v>177</v>
      </c>
      <c r="L135">
        <v>1</v>
      </c>
      <c r="M135">
        <v>4</v>
      </c>
      <c r="N135">
        <v>8</v>
      </c>
      <c r="O135">
        <v>15</v>
      </c>
      <c r="Q135">
        <v>1</v>
      </c>
      <c r="T135" t="s">
        <v>320</v>
      </c>
      <c r="U135" t="s">
        <v>34</v>
      </c>
      <c r="V135" t="s">
        <v>35</v>
      </c>
      <c r="W135" t="s">
        <v>36</v>
      </c>
      <c r="X135" t="s">
        <v>37</v>
      </c>
      <c r="Y135" t="s">
        <v>37</v>
      </c>
      <c r="AA135">
        <v>5.0694444444444446</v>
      </c>
      <c r="AB135">
        <v>15</v>
      </c>
      <c r="AC135">
        <v>5.0694444444444446</v>
      </c>
      <c r="AD135" t="s">
        <v>321</v>
      </c>
      <c r="AE135" t="s">
        <v>40</v>
      </c>
      <c r="AF135" t="s">
        <v>41</v>
      </c>
      <c r="AG135">
        <v>1</v>
      </c>
      <c r="AH135" t="s">
        <v>333</v>
      </c>
    </row>
    <row r="136" spans="1:34" x14ac:dyDescent="0.2">
      <c r="A136">
        <v>312070</v>
      </c>
      <c r="B136" t="s">
        <v>322</v>
      </c>
      <c r="C136">
        <v>0.5</v>
      </c>
      <c r="D136" t="s">
        <v>355</v>
      </c>
      <c r="E136" t="s">
        <v>371</v>
      </c>
      <c r="F136">
        <v>18</v>
      </c>
      <c r="I136">
        <v>35</v>
      </c>
      <c r="K136">
        <v>962</v>
      </c>
      <c r="L136">
        <v>1</v>
      </c>
      <c r="M136">
        <v>8</v>
      </c>
      <c r="N136">
        <v>8</v>
      </c>
      <c r="O136">
        <v>9</v>
      </c>
      <c r="Q136">
        <v>1</v>
      </c>
      <c r="S136" t="s">
        <v>44</v>
      </c>
      <c r="T136" t="s">
        <v>45</v>
      </c>
      <c r="U136" t="s">
        <v>34</v>
      </c>
      <c r="V136" t="s">
        <v>35</v>
      </c>
      <c r="X136" t="s">
        <v>37</v>
      </c>
      <c r="Y136" t="s">
        <v>37</v>
      </c>
      <c r="Z136" t="s">
        <v>38</v>
      </c>
      <c r="AA136">
        <v>0.5</v>
      </c>
      <c r="AB136">
        <v>9</v>
      </c>
      <c r="AC136">
        <v>0.5</v>
      </c>
      <c r="AD136" t="s">
        <v>323</v>
      </c>
      <c r="AE136" t="s">
        <v>40</v>
      </c>
      <c r="AF136" t="s">
        <v>41</v>
      </c>
      <c r="AG136">
        <v>1</v>
      </c>
      <c r="AH136" t="s">
        <v>329</v>
      </c>
    </row>
    <row r="137" spans="1:34" x14ac:dyDescent="0.2">
      <c r="A137">
        <v>311340</v>
      </c>
      <c r="B137" t="s">
        <v>324</v>
      </c>
      <c r="C137">
        <v>243.33333333333334</v>
      </c>
      <c r="D137" t="s">
        <v>464</v>
      </c>
      <c r="E137" t="s">
        <v>465</v>
      </c>
      <c r="F137">
        <v>2.4657534246575342E-2</v>
      </c>
      <c r="I137">
        <v>24</v>
      </c>
      <c r="K137">
        <v>452</v>
      </c>
      <c r="L137">
        <v>1</v>
      </c>
      <c r="M137">
        <v>4</v>
      </c>
      <c r="N137">
        <v>8</v>
      </c>
      <c r="O137">
        <v>6</v>
      </c>
      <c r="Q137">
        <v>2</v>
      </c>
      <c r="T137" t="s">
        <v>45</v>
      </c>
      <c r="U137" t="s">
        <v>34</v>
      </c>
      <c r="V137" t="s">
        <v>47</v>
      </c>
      <c r="W137" t="s">
        <v>36</v>
      </c>
      <c r="X137" t="s">
        <v>50</v>
      </c>
      <c r="Y137" t="s">
        <v>51</v>
      </c>
      <c r="Z137" t="s">
        <v>98</v>
      </c>
      <c r="AA137">
        <v>-243.33333333333334</v>
      </c>
      <c r="AB137">
        <v>-6</v>
      </c>
      <c r="AC137">
        <v>243.33333333333334</v>
      </c>
      <c r="AD137" t="s">
        <v>325</v>
      </c>
      <c r="AE137" t="s">
        <v>40</v>
      </c>
      <c r="AF137" t="s">
        <v>41</v>
      </c>
      <c r="AG137">
        <v>6</v>
      </c>
      <c r="AH137" t="s">
        <v>334</v>
      </c>
    </row>
    <row r="138" spans="1:34" x14ac:dyDescent="0.2">
      <c r="A138">
        <v>353020</v>
      </c>
      <c r="B138" t="s">
        <v>326</v>
      </c>
      <c r="C138">
        <v>1.6</v>
      </c>
      <c r="D138" t="s">
        <v>355</v>
      </c>
      <c r="E138" t="s">
        <v>359</v>
      </c>
      <c r="F138">
        <v>5</v>
      </c>
      <c r="I138">
        <v>8</v>
      </c>
      <c r="K138">
        <v>50</v>
      </c>
      <c r="L138">
        <v>1</v>
      </c>
      <c r="M138">
        <v>2</v>
      </c>
      <c r="N138">
        <v>3</v>
      </c>
      <c r="O138">
        <v>8</v>
      </c>
      <c r="Q138">
        <v>1</v>
      </c>
      <c r="T138" t="s">
        <v>60</v>
      </c>
      <c r="U138" t="s">
        <v>61</v>
      </c>
      <c r="V138" t="s">
        <v>47</v>
      </c>
      <c r="W138" t="s">
        <v>36</v>
      </c>
      <c r="X138" t="s">
        <v>37</v>
      </c>
      <c r="Y138" t="s">
        <v>37</v>
      </c>
      <c r="Z138" t="s">
        <v>38</v>
      </c>
      <c r="AA138">
        <v>1.6</v>
      </c>
      <c r="AB138">
        <v>8</v>
      </c>
      <c r="AC138">
        <v>1.6</v>
      </c>
      <c r="AD138" t="s">
        <v>327</v>
      </c>
      <c r="AE138" t="s">
        <v>40</v>
      </c>
      <c r="AF138" t="s">
        <v>41</v>
      </c>
      <c r="AG138">
        <v>1</v>
      </c>
      <c r="AH138" t="s">
        <v>329</v>
      </c>
    </row>
  </sheetData>
  <autoFilter ref="A1:AG138" xr:uid="{E3F70FB1-E6B5-2A4F-84EB-937BFCBFCB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EC77-AB10-C349-9DAC-A89BD216E62C}">
  <sheetPr codeName="Sheet10"/>
  <dimension ref="A1:L138"/>
  <sheetViews>
    <sheetView tabSelected="1" workbookViewId="0">
      <selection activeCell="A3" sqref="A3"/>
    </sheetView>
  </sheetViews>
  <sheetFormatPr baseColWidth="10" defaultRowHeight="16" x14ac:dyDescent="0.2"/>
  <cols>
    <col min="1" max="1" width="59.33203125" customWidth="1"/>
    <col min="11" max="11" width="48.5" customWidth="1"/>
  </cols>
  <sheetData>
    <row r="1" spans="1:12" x14ac:dyDescent="0.2">
      <c r="A1" s="7" t="s">
        <v>29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1" t="s">
        <v>25</v>
      </c>
      <c r="I1" s="9" t="s">
        <v>16</v>
      </c>
      <c r="J1" s="7" t="s">
        <v>466</v>
      </c>
      <c r="K1" s="4" t="s">
        <v>328</v>
      </c>
      <c r="L1" s="4"/>
    </row>
    <row r="2" spans="1:12" x14ac:dyDescent="0.2">
      <c r="A2" t="s">
        <v>42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37</v>
      </c>
      <c r="H2" t="s">
        <v>38</v>
      </c>
      <c r="I2">
        <v>1</v>
      </c>
      <c r="J2">
        <v>1</v>
      </c>
      <c r="K2" t="s">
        <v>467</v>
      </c>
    </row>
    <row r="3" spans="1:12" x14ac:dyDescent="0.2">
      <c r="A3" t="s">
        <v>39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37</v>
      </c>
      <c r="H3" t="s">
        <v>38</v>
      </c>
      <c r="I3">
        <v>1</v>
      </c>
      <c r="J3">
        <v>1</v>
      </c>
      <c r="K3" t="s">
        <v>467</v>
      </c>
    </row>
    <row r="4" spans="1:12" x14ac:dyDescent="0.2">
      <c r="A4" t="s">
        <v>49</v>
      </c>
      <c r="B4" t="s">
        <v>45</v>
      </c>
      <c r="C4" t="s">
        <v>46</v>
      </c>
      <c r="D4" t="s">
        <v>47</v>
      </c>
      <c r="F4" t="s">
        <v>37</v>
      </c>
      <c r="G4" t="s">
        <v>37</v>
      </c>
      <c r="H4" t="s">
        <v>48</v>
      </c>
      <c r="I4">
        <v>1</v>
      </c>
      <c r="J4">
        <v>1</v>
      </c>
      <c r="K4" t="s">
        <v>336</v>
      </c>
    </row>
    <row r="5" spans="1:12" x14ac:dyDescent="0.2">
      <c r="A5" t="s">
        <v>57</v>
      </c>
      <c r="B5" t="s">
        <v>33</v>
      </c>
      <c r="C5" t="s">
        <v>34</v>
      </c>
      <c r="D5" t="s">
        <v>56</v>
      </c>
      <c r="E5" t="s">
        <v>36</v>
      </c>
      <c r="F5" t="s">
        <v>37</v>
      </c>
      <c r="G5" t="s">
        <v>37</v>
      </c>
      <c r="I5">
        <v>1</v>
      </c>
      <c r="J5">
        <v>1</v>
      </c>
      <c r="K5" t="s">
        <v>471</v>
      </c>
    </row>
    <row r="6" spans="1:12" x14ac:dyDescent="0.2">
      <c r="A6" t="s">
        <v>62</v>
      </c>
      <c r="B6" t="s">
        <v>60</v>
      </c>
      <c r="C6" t="s">
        <v>61</v>
      </c>
      <c r="D6" t="s">
        <v>47</v>
      </c>
      <c r="F6" t="s">
        <v>50</v>
      </c>
      <c r="G6" t="s">
        <v>51</v>
      </c>
      <c r="H6" t="s">
        <v>38</v>
      </c>
      <c r="I6">
        <v>1</v>
      </c>
      <c r="J6">
        <v>4</v>
      </c>
      <c r="K6" t="s">
        <v>472</v>
      </c>
    </row>
    <row r="7" spans="1:12" x14ac:dyDescent="0.2">
      <c r="A7" t="s">
        <v>66</v>
      </c>
      <c r="B7" t="s">
        <v>64</v>
      </c>
      <c r="C7" t="s">
        <v>65</v>
      </c>
      <c r="D7" t="s">
        <v>47</v>
      </c>
      <c r="E7" t="s">
        <v>36</v>
      </c>
      <c r="F7" t="s">
        <v>37</v>
      </c>
      <c r="G7" t="s">
        <v>37</v>
      </c>
      <c r="I7">
        <v>2</v>
      </c>
      <c r="J7">
        <v>7</v>
      </c>
      <c r="K7" t="s">
        <v>468</v>
      </c>
    </row>
    <row r="8" spans="1:12" x14ac:dyDescent="0.2">
      <c r="A8" t="s">
        <v>74</v>
      </c>
      <c r="B8" t="s">
        <v>45</v>
      </c>
      <c r="C8" t="s">
        <v>68</v>
      </c>
      <c r="D8" t="s">
        <v>69</v>
      </c>
      <c r="E8" t="s">
        <v>36</v>
      </c>
      <c r="F8" t="s">
        <v>37</v>
      </c>
      <c r="G8" t="s">
        <v>37</v>
      </c>
      <c r="H8" t="s">
        <v>71</v>
      </c>
      <c r="I8">
        <v>1</v>
      </c>
      <c r="J8">
        <v>2</v>
      </c>
      <c r="K8" t="s">
        <v>469</v>
      </c>
    </row>
    <row r="9" spans="1:12" x14ac:dyDescent="0.2">
      <c r="A9" t="s">
        <v>75</v>
      </c>
      <c r="B9" t="s">
        <v>45</v>
      </c>
      <c r="C9" t="s">
        <v>68</v>
      </c>
      <c r="D9" t="s">
        <v>69</v>
      </c>
      <c r="E9" t="s">
        <v>36</v>
      </c>
      <c r="F9" t="s">
        <v>37</v>
      </c>
      <c r="G9" t="s">
        <v>37</v>
      </c>
      <c r="H9" t="s">
        <v>71</v>
      </c>
      <c r="I9">
        <v>1</v>
      </c>
      <c r="J9">
        <v>2</v>
      </c>
      <c r="K9" t="s">
        <v>469</v>
      </c>
    </row>
    <row r="10" spans="1:12" x14ac:dyDescent="0.2">
      <c r="A10" t="s">
        <v>73</v>
      </c>
      <c r="B10" t="s">
        <v>45</v>
      </c>
      <c r="C10" t="s">
        <v>68</v>
      </c>
      <c r="D10" t="s">
        <v>69</v>
      </c>
      <c r="E10" t="s">
        <v>36</v>
      </c>
      <c r="F10" t="s">
        <v>50</v>
      </c>
      <c r="G10" t="s">
        <v>51</v>
      </c>
      <c r="H10" t="s">
        <v>71</v>
      </c>
      <c r="I10">
        <v>1</v>
      </c>
      <c r="J10">
        <v>4</v>
      </c>
      <c r="K10" t="s">
        <v>336</v>
      </c>
    </row>
    <row r="11" spans="1:12" x14ac:dyDescent="0.2">
      <c r="A11" t="s">
        <v>72</v>
      </c>
      <c r="B11" t="s">
        <v>45</v>
      </c>
      <c r="C11" t="s">
        <v>68</v>
      </c>
      <c r="D11" t="s">
        <v>69</v>
      </c>
      <c r="E11" t="s">
        <v>36</v>
      </c>
      <c r="F11" t="s">
        <v>50</v>
      </c>
      <c r="G11" t="s">
        <v>51</v>
      </c>
      <c r="H11" t="s">
        <v>71</v>
      </c>
      <c r="I11">
        <v>1</v>
      </c>
      <c r="J11">
        <v>4</v>
      </c>
      <c r="K11" t="s">
        <v>336</v>
      </c>
    </row>
    <row r="12" spans="1:12" x14ac:dyDescent="0.2">
      <c r="A12" t="s">
        <v>78</v>
      </c>
      <c r="B12" t="s">
        <v>45</v>
      </c>
      <c r="C12" t="s">
        <v>46</v>
      </c>
      <c r="D12" t="s">
        <v>35</v>
      </c>
      <c r="F12" t="s">
        <v>50</v>
      </c>
      <c r="G12" t="s">
        <v>51</v>
      </c>
      <c r="H12" t="s">
        <v>71</v>
      </c>
      <c r="I12">
        <v>1</v>
      </c>
      <c r="J12">
        <v>8</v>
      </c>
      <c r="K12" t="s">
        <v>336</v>
      </c>
    </row>
    <row r="13" spans="1:12" x14ac:dyDescent="0.2">
      <c r="A13" t="s">
        <v>80</v>
      </c>
      <c r="B13" t="s">
        <v>33</v>
      </c>
      <c r="C13" t="s">
        <v>34</v>
      </c>
      <c r="D13" t="s">
        <v>35</v>
      </c>
      <c r="F13" t="s">
        <v>50</v>
      </c>
      <c r="G13" t="s">
        <v>51</v>
      </c>
      <c r="H13" t="s">
        <v>48</v>
      </c>
      <c r="I13">
        <v>1</v>
      </c>
      <c r="J13">
        <v>4</v>
      </c>
      <c r="K13" t="s">
        <v>336</v>
      </c>
    </row>
    <row r="14" spans="1:12" x14ac:dyDescent="0.2">
      <c r="A14" t="s">
        <v>85</v>
      </c>
      <c r="B14" t="s">
        <v>45</v>
      </c>
      <c r="C14" t="s">
        <v>61</v>
      </c>
      <c r="D14" t="s">
        <v>47</v>
      </c>
      <c r="F14" t="s">
        <v>50</v>
      </c>
      <c r="G14" t="s">
        <v>51</v>
      </c>
      <c r="H14" t="s">
        <v>38</v>
      </c>
      <c r="I14">
        <v>1</v>
      </c>
      <c r="J14">
        <v>4</v>
      </c>
      <c r="K14" t="s">
        <v>471</v>
      </c>
    </row>
    <row r="15" spans="1:12" x14ac:dyDescent="0.2">
      <c r="A15" t="s">
        <v>94</v>
      </c>
      <c r="B15" t="s">
        <v>87</v>
      </c>
      <c r="C15" t="s">
        <v>46</v>
      </c>
      <c r="D15" t="s">
        <v>47</v>
      </c>
      <c r="E15" t="s">
        <v>36</v>
      </c>
      <c r="F15" t="s">
        <v>37</v>
      </c>
      <c r="G15" t="s">
        <v>37</v>
      </c>
      <c r="H15" t="s">
        <v>93</v>
      </c>
      <c r="I15">
        <v>1</v>
      </c>
      <c r="J15">
        <v>2</v>
      </c>
      <c r="K15" t="s">
        <v>469</v>
      </c>
    </row>
    <row r="16" spans="1:12" x14ac:dyDescent="0.2">
      <c r="A16" t="s">
        <v>88</v>
      </c>
      <c r="B16" t="s">
        <v>87</v>
      </c>
      <c r="C16" t="s">
        <v>46</v>
      </c>
      <c r="D16" t="s">
        <v>47</v>
      </c>
      <c r="F16" t="s">
        <v>50</v>
      </c>
      <c r="G16" t="s">
        <v>51</v>
      </c>
      <c r="H16" t="s">
        <v>52</v>
      </c>
      <c r="I16">
        <v>2</v>
      </c>
      <c r="J16">
        <v>4</v>
      </c>
      <c r="K16" t="s">
        <v>336</v>
      </c>
    </row>
    <row r="17" spans="1:11" x14ac:dyDescent="0.2">
      <c r="A17" t="s">
        <v>89</v>
      </c>
      <c r="B17" t="s">
        <v>87</v>
      </c>
      <c r="C17" t="s">
        <v>46</v>
      </c>
      <c r="D17" t="s">
        <v>47</v>
      </c>
      <c r="F17" t="s">
        <v>50</v>
      </c>
      <c r="G17" t="s">
        <v>51</v>
      </c>
      <c r="H17" t="s">
        <v>52</v>
      </c>
      <c r="I17">
        <v>2</v>
      </c>
      <c r="J17">
        <v>4</v>
      </c>
      <c r="K17" t="s">
        <v>336</v>
      </c>
    </row>
    <row r="18" spans="1:11" x14ac:dyDescent="0.2">
      <c r="A18" t="s">
        <v>90</v>
      </c>
      <c r="B18" t="s">
        <v>87</v>
      </c>
      <c r="C18" t="s">
        <v>46</v>
      </c>
      <c r="D18" t="s">
        <v>47</v>
      </c>
      <c r="F18" t="s">
        <v>50</v>
      </c>
      <c r="G18" t="s">
        <v>51</v>
      </c>
      <c r="H18" t="s">
        <v>52</v>
      </c>
      <c r="I18">
        <v>2</v>
      </c>
      <c r="J18">
        <v>4</v>
      </c>
      <c r="K18" t="s">
        <v>336</v>
      </c>
    </row>
    <row r="19" spans="1:11" x14ac:dyDescent="0.2">
      <c r="A19" t="s">
        <v>91</v>
      </c>
      <c r="B19" t="s">
        <v>87</v>
      </c>
      <c r="C19" t="s">
        <v>46</v>
      </c>
      <c r="D19" t="s">
        <v>47</v>
      </c>
      <c r="F19" t="s">
        <v>37</v>
      </c>
      <c r="G19" t="s">
        <v>37</v>
      </c>
      <c r="H19" t="s">
        <v>38</v>
      </c>
      <c r="I19">
        <v>2</v>
      </c>
      <c r="J19">
        <v>1</v>
      </c>
      <c r="K19" t="s">
        <v>469</v>
      </c>
    </row>
    <row r="20" spans="1:11" x14ac:dyDescent="0.2">
      <c r="A20" t="s">
        <v>92</v>
      </c>
      <c r="B20" t="s">
        <v>87</v>
      </c>
      <c r="C20" t="s">
        <v>46</v>
      </c>
      <c r="D20" t="s">
        <v>47</v>
      </c>
      <c r="F20" t="s">
        <v>37</v>
      </c>
      <c r="G20" t="s">
        <v>37</v>
      </c>
      <c r="H20" t="s">
        <v>38</v>
      </c>
      <c r="I20">
        <v>2</v>
      </c>
      <c r="J20">
        <v>1</v>
      </c>
      <c r="K20" t="s">
        <v>469</v>
      </c>
    </row>
    <row r="21" spans="1:11" x14ac:dyDescent="0.2">
      <c r="A21" t="s">
        <v>99</v>
      </c>
      <c r="B21" t="s">
        <v>96</v>
      </c>
      <c r="C21" t="s">
        <v>34</v>
      </c>
      <c r="D21" t="s">
        <v>35</v>
      </c>
      <c r="F21" t="s">
        <v>37</v>
      </c>
      <c r="G21" t="s">
        <v>37</v>
      </c>
      <c r="H21" t="s">
        <v>48</v>
      </c>
      <c r="I21">
        <v>2</v>
      </c>
      <c r="J21">
        <v>2</v>
      </c>
      <c r="K21" t="s">
        <v>334</v>
      </c>
    </row>
    <row r="22" spans="1:11" x14ac:dyDescent="0.2">
      <c r="A22" t="s">
        <v>97</v>
      </c>
      <c r="B22" t="s">
        <v>96</v>
      </c>
      <c r="C22" t="s">
        <v>34</v>
      </c>
      <c r="D22" t="s">
        <v>35</v>
      </c>
      <c r="F22" t="s">
        <v>50</v>
      </c>
      <c r="G22" t="s">
        <v>51</v>
      </c>
      <c r="H22" t="s">
        <v>77</v>
      </c>
      <c r="I22">
        <v>2</v>
      </c>
      <c r="J22">
        <v>4</v>
      </c>
      <c r="K22" t="s">
        <v>467</v>
      </c>
    </row>
    <row r="23" spans="1:11" x14ac:dyDescent="0.2">
      <c r="A23" t="s">
        <v>101</v>
      </c>
      <c r="B23" t="s">
        <v>60</v>
      </c>
      <c r="C23" t="s">
        <v>61</v>
      </c>
      <c r="D23" t="s">
        <v>47</v>
      </c>
      <c r="E23" t="s">
        <v>36</v>
      </c>
      <c r="F23" t="s">
        <v>37</v>
      </c>
      <c r="G23" t="s">
        <v>37</v>
      </c>
      <c r="H23" t="s">
        <v>38</v>
      </c>
      <c r="I23">
        <v>2</v>
      </c>
      <c r="J23">
        <v>1</v>
      </c>
      <c r="K23" t="s">
        <v>467</v>
      </c>
    </row>
    <row r="24" spans="1:11" x14ac:dyDescent="0.2">
      <c r="A24" t="s">
        <v>104</v>
      </c>
      <c r="B24" t="s">
        <v>45</v>
      </c>
      <c r="C24" t="s">
        <v>61</v>
      </c>
      <c r="D24" t="s">
        <v>47</v>
      </c>
      <c r="F24" t="s">
        <v>50</v>
      </c>
      <c r="G24" t="s">
        <v>51</v>
      </c>
      <c r="H24" t="s">
        <v>103</v>
      </c>
      <c r="I24">
        <v>2</v>
      </c>
      <c r="J24">
        <v>6</v>
      </c>
      <c r="K24" t="s">
        <v>338</v>
      </c>
    </row>
    <row r="25" spans="1:11" x14ac:dyDescent="0.2">
      <c r="A25" t="s">
        <v>107</v>
      </c>
      <c r="B25" t="s">
        <v>106</v>
      </c>
      <c r="C25" t="s">
        <v>68</v>
      </c>
      <c r="D25" t="s">
        <v>69</v>
      </c>
      <c r="E25" t="s">
        <v>36</v>
      </c>
      <c r="F25" t="s">
        <v>37</v>
      </c>
      <c r="G25" t="s">
        <v>37</v>
      </c>
      <c r="H25" t="s">
        <v>38</v>
      </c>
      <c r="I25">
        <v>1</v>
      </c>
      <c r="J25">
        <v>1</v>
      </c>
      <c r="K25" t="s">
        <v>469</v>
      </c>
    </row>
    <row r="26" spans="1:11" x14ac:dyDescent="0.2">
      <c r="A26" t="s">
        <v>115</v>
      </c>
      <c r="B26" t="s">
        <v>33</v>
      </c>
      <c r="C26" t="s">
        <v>34</v>
      </c>
      <c r="D26" t="s">
        <v>109</v>
      </c>
      <c r="E26" t="s">
        <v>36</v>
      </c>
      <c r="F26" t="s">
        <v>37</v>
      </c>
      <c r="G26" t="s">
        <v>37</v>
      </c>
      <c r="I26">
        <v>1</v>
      </c>
      <c r="J26">
        <v>2</v>
      </c>
      <c r="K26" t="s">
        <v>336</v>
      </c>
    </row>
    <row r="27" spans="1:11" x14ac:dyDescent="0.2">
      <c r="A27" t="s">
        <v>111</v>
      </c>
      <c r="B27" t="s">
        <v>33</v>
      </c>
      <c r="C27" t="s">
        <v>34</v>
      </c>
      <c r="D27" t="s">
        <v>109</v>
      </c>
      <c r="E27" t="s">
        <v>36</v>
      </c>
      <c r="F27" t="s">
        <v>37</v>
      </c>
      <c r="G27" t="s">
        <v>37</v>
      </c>
      <c r="I27">
        <v>1</v>
      </c>
      <c r="J27">
        <v>3</v>
      </c>
      <c r="K27" t="s">
        <v>336</v>
      </c>
    </row>
    <row r="28" spans="1:11" x14ac:dyDescent="0.2">
      <c r="A28" t="s">
        <v>113</v>
      </c>
      <c r="B28" t="s">
        <v>33</v>
      </c>
      <c r="C28" t="s">
        <v>34</v>
      </c>
      <c r="D28" t="s">
        <v>109</v>
      </c>
      <c r="F28" t="s">
        <v>37</v>
      </c>
      <c r="G28" t="s">
        <v>37</v>
      </c>
      <c r="H28" t="s">
        <v>48</v>
      </c>
      <c r="I28">
        <v>1</v>
      </c>
      <c r="J28">
        <v>3</v>
      </c>
      <c r="K28" t="s">
        <v>336</v>
      </c>
    </row>
    <row r="29" spans="1:11" x14ac:dyDescent="0.2">
      <c r="A29" t="s">
        <v>110</v>
      </c>
      <c r="B29" t="s">
        <v>33</v>
      </c>
      <c r="C29" t="s">
        <v>34</v>
      </c>
      <c r="D29" t="s">
        <v>109</v>
      </c>
      <c r="E29" t="s">
        <v>36</v>
      </c>
      <c r="F29" t="s">
        <v>50</v>
      </c>
      <c r="G29" t="s">
        <v>51</v>
      </c>
      <c r="I29">
        <v>1</v>
      </c>
      <c r="J29">
        <v>4</v>
      </c>
      <c r="K29" t="s">
        <v>336</v>
      </c>
    </row>
    <row r="30" spans="1:11" x14ac:dyDescent="0.2">
      <c r="A30" t="s">
        <v>119</v>
      </c>
      <c r="B30" t="s">
        <v>45</v>
      </c>
      <c r="C30" t="s">
        <v>117</v>
      </c>
      <c r="D30" t="s">
        <v>109</v>
      </c>
      <c r="E30" t="s">
        <v>36</v>
      </c>
      <c r="F30" t="s">
        <v>37</v>
      </c>
      <c r="G30" t="s">
        <v>118</v>
      </c>
      <c r="H30" t="s">
        <v>38</v>
      </c>
      <c r="I30">
        <v>1</v>
      </c>
      <c r="J30">
        <v>1</v>
      </c>
      <c r="K30" t="s">
        <v>467</v>
      </c>
    </row>
    <row r="31" spans="1:11" x14ac:dyDescent="0.2">
      <c r="A31" t="s">
        <v>122</v>
      </c>
      <c r="B31" t="s">
        <v>87</v>
      </c>
      <c r="C31" t="s">
        <v>34</v>
      </c>
      <c r="D31" t="s">
        <v>35</v>
      </c>
      <c r="F31" t="s">
        <v>53</v>
      </c>
      <c r="G31" t="s">
        <v>121</v>
      </c>
      <c r="H31" t="s">
        <v>38</v>
      </c>
      <c r="I31">
        <v>2</v>
      </c>
      <c r="J31">
        <v>9</v>
      </c>
      <c r="K31" t="s">
        <v>469</v>
      </c>
    </row>
    <row r="32" spans="1:11" x14ac:dyDescent="0.2">
      <c r="A32" t="s">
        <v>125</v>
      </c>
      <c r="B32" t="s">
        <v>45</v>
      </c>
      <c r="C32" t="s">
        <v>34</v>
      </c>
      <c r="D32" t="s">
        <v>124</v>
      </c>
      <c r="F32" t="s">
        <v>50</v>
      </c>
      <c r="G32" t="s">
        <v>51</v>
      </c>
      <c r="H32" t="s">
        <v>71</v>
      </c>
      <c r="I32">
        <v>2</v>
      </c>
      <c r="J32">
        <v>4</v>
      </c>
      <c r="K32" t="s">
        <v>336</v>
      </c>
    </row>
    <row r="33" spans="1:11" x14ac:dyDescent="0.2">
      <c r="A33" t="s">
        <v>128</v>
      </c>
      <c r="B33" t="s">
        <v>33</v>
      </c>
      <c r="C33" t="s">
        <v>68</v>
      </c>
      <c r="D33" t="s">
        <v>69</v>
      </c>
      <c r="E33" t="s">
        <v>36</v>
      </c>
      <c r="F33" t="s">
        <v>37</v>
      </c>
      <c r="G33" t="s">
        <v>37</v>
      </c>
      <c r="H33" t="s">
        <v>38</v>
      </c>
      <c r="I33">
        <v>1</v>
      </c>
      <c r="J33">
        <v>2</v>
      </c>
      <c r="K33" t="s">
        <v>469</v>
      </c>
    </row>
    <row r="34" spans="1:11" x14ac:dyDescent="0.2">
      <c r="A34" t="s">
        <v>127</v>
      </c>
      <c r="B34" t="s">
        <v>33</v>
      </c>
      <c r="C34" t="s">
        <v>68</v>
      </c>
      <c r="D34" t="s">
        <v>69</v>
      </c>
      <c r="E34" t="s">
        <v>36</v>
      </c>
      <c r="F34" t="s">
        <v>50</v>
      </c>
      <c r="G34" t="s">
        <v>51</v>
      </c>
      <c r="H34" t="s">
        <v>38</v>
      </c>
      <c r="I34">
        <v>1</v>
      </c>
      <c r="J34">
        <v>4</v>
      </c>
      <c r="K34" t="s">
        <v>472</v>
      </c>
    </row>
    <row r="35" spans="1:11" x14ac:dyDescent="0.2">
      <c r="A35" t="s">
        <v>131</v>
      </c>
      <c r="B35" t="s">
        <v>87</v>
      </c>
      <c r="C35" t="s">
        <v>34</v>
      </c>
      <c r="D35" t="s">
        <v>35</v>
      </c>
      <c r="F35" t="s">
        <v>37</v>
      </c>
      <c r="G35" t="s">
        <v>37</v>
      </c>
      <c r="H35" t="s">
        <v>48</v>
      </c>
      <c r="I35">
        <v>1</v>
      </c>
      <c r="J35">
        <v>1</v>
      </c>
      <c r="K35" t="s">
        <v>336</v>
      </c>
    </row>
    <row r="36" spans="1:11" x14ac:dyDescent="0.2">
      <c r="A36" t="s">
        <v>130</v>
      </c>
      <c r="B36" t="s">
        <v>87</v>
      </c>
      <c r="C36" t="s">
        <v>34</v>
      </c>
      <c r="D36" t="s">
        <v>35</v>
      </c>
      <c r="F36" t="s">
        <v>50</v>
      </c>
      <c r="G36" t="s">
        <v>51</v>
      </c>
      <c r="H36" t="s">
        <v>48</v>
      </c>
      <c r="I36">
        <v>1</v>
      </c>
      <c r="J36">
        <v>4</v>
      </c>
      <c r="K36" t="s">
        <v>472</v>
      </c>
    </row>
    <row r="37" spans="1:11" x14ac:dyDescent="0.2">
      <c r="A37" t="s">
        <v>133</v>
      </c>
      <c r="B37" t="s">
        <v>82</v>
      </c>
      <c r="C37" t="s">
        <v>34</v>
      </c>
      <c r="D37" t="s">
        <v>35</v>
      </c>
      <c r="F37" t="s">
        <v>37</v>
      </c>
      <c r="G37" t="s">
        <v>37</v>
      </c>
      <c r="H37" t="s">
        <v>38</v>
      </c>
      <c r="I37">
        <v>1</v>
      </c>
      <c r="J37">
        <v>1</v>
      </c>
      <c r="K37" t="s">
        <v>467</v>
      </c>
    </row>
    <row r="38" spans="1:11" x14ac:dyDescent="0.2">
      <c r="A38" t="s">
        <v>137</v>
      </c>
      <c r="B38" t="s">
        <v>96</v>
      </c>
      <c r="C38" t="s">
        <v>68</v>
      </c>
      <c r="D38" t="s">
        <v>109</v>
      </c>
      <c r="F38" t="s">
        <v>50</v>
      </c>
      <c r="G38" t="s">
        <v>51</v>
      </c>
      <c r="H38" t="s">
        <v>136</v>
      </c>
      <c r="I38">
        <v>1</v>
      </c>
      <c r="J38">
        <v>4</v>
      </c>
      <c r="K38" t="s">
        <v>336</v>
      </c>
    </row>
    <row r="39" spans="1:11" x14ac:dyDescent="0.2">
      <c r="A39" t="s">
        <v>140</v>
      </c>
      <c r="B39" t="s">
        <v>45</v>
      </c>
      <c r="C39" t="s">
        <v>65</v>
      </c>
      <c r="D39" t="s">
        <v>47</v>
      </c>
      <c r="E39" t="s">
        <v>36</v>
      </c>
      <c r="F39" t="s">
        <v>53</v>
      </c>
      <c r="G39" t="s">
        <v>121</v>
      </c>
      <c r="H39" t="s">
        <v>98</v>
      </c>
      <c r="I39">
        <v>2</v>
      </c>
      <c r="J39">
        <v>6</v>
      </c>
      <c r="K39" t="s">
        <v>338</v>
      </c>
    </row>
    <row r="40" spans="1:11" x14ac:dyDescent="0.2">
      <c r="A40" t="s">
        <v>139</v>
      </c>
      <c r="B40" t="s">
        <v>45</v>
      </c>
      <c r="C40" t="s">
        <v>65</v>
      </c>
      <c r="D40" t="s">
        <v>47</v>
      </c>
      <c r="E40" t="s">
        <v>36</v>
      </c>
      <c r="F40" t="s">
        <v>37</v>
      </c>
      <c r="G40" t="s">
        <v>37</v>
      </c>
      <c r="I40">
        <v>1</v>
      </c>
      <c r="J40">
        <v>2</v>
      </c>
      <c r="K40" t="s">
        <v>469</v>
      </c>
    </row>
    <row r="41" spans="1:11" x14ac:dyDescent="0.2">
      <c r="A41" t="s">
        <v>142</v>
      </c>
      <c r="B41" t="s">
        <v>64</v>
      </c>
      <c r="C41" t="s">
        <v>65</v>
      </c>
      <c r="D41" t="s">
        <v>47</v>
      </c>
      <c r="E41" t="s">
        <v>36</v>
      </c>
      <c r="F41" t="s">
        <v>37</v>
      </c>
      <c r="G41" t="s">
        <v>37</v>
      </c>
      <c r="I41">
        <v>2</v>
      </c>
      <c r="J41">
        <v>7</v>
      </c>
      <c r="K41" t="s">
        <v>468</v>
      </c>
    </row>
    <row r="42" spans="1:11" x14ac:dyDescent="0.2">
      <c r="A42" t="s">
        <v>146</v>
      </c>
      <c r="B42" t="s">
        <v>144</v>
      </c>
      <c r="C42" t="s">
        <v>65</v>
      </c>
      <c r="D42" t="s">
        <v>145</v>
      </c>
      <c r="E42" t="s">
        <v>36</v>
      </c>
      <c r="F42" t="s">
        <v>53</v>
      </c>
      <c r="G42" t="s">
        <v>121</v>
      </c>
      <c r="H42" t="s">
        <v>38</v>
      </c>
      <c r="I42">
        <v>1</v>
      </c>
      <c r="J42">
        <v>6</v>
      </c>
      <c r="K42" t="s">
        <v>338</v>
      </c>
    </row>
    <row r="43" spans="1:11" x14ac:dyDescent="0.2">
      <c r="A43" t="s">
        <v>148</v>
      </c>
      <c r="B43" t="s">
        <v>60</v>
      </c>
      <c r="C43" t="s">
        <v>61</v>
      </c>
      <c r="D43" t="s">
        <v>47</v>
      </c>
      <c r="E43" t="s">
        <v>36</v>
      </c>
      <c r="F43" t="s">
        <v>37</v>
      </c>
      <c r="G43" t="s">
        <v>37</v>
      </c>
      <c r="H43" t="s">
        <v>38</v>
      </c>
      <c r="I43">
        <v>1</v>
      </c>
      <c r="J43">
        <v>1</v>
      </c>
      <c r="K43" t="s">
        <v>467</v>
      </c>
    </row>
    <row r="44" spans="1:11" x14ac:dyDescent="0.2">
      <c r="A44" t="s">
        <v>150</v>
      </c>
      <c r="B44" t="s">
        <v>33</v>
      </c>
      <c r="C44" t="s">
        <v>34</v>
      </c>
      <c r="D44" t="s">
        <v>35</v>
      </c>
      <c r="F44" t="s">
        <v>50</v>
      </c>
      <c r="G44" t="s">
        <v>51</v>
      </c>
      <c r="H44" t="s">
        <v>71</v>
      </c>
      <c r="I44">
        <v>1</v>
      </c>
      <c r="J44">
        <v>4</v>
      </c>
      <c r="K44" t="s">
        <v>336</v>
      </c>
    </row>
    <row r="45" spans="1:11" x14ac:dyDescent="0.2">
      <c r="A45" t="s">
        <v>153</v>
      </c>
      <c r="B45" t="s">
        <v>87</v>
      </c>
      <c r="C45" t="s">
        <v>34</v>
      </c>
      <c r="D45" t="s">
        <v>124</v>
      </c>
      <c r="E45" t="s">
        <v>36</v>
      </c>
      <c r="F45" t="s">
        <v>50</v>
      </c>
      <c r="G45" t="s">
        <v>51</v>
      </c>
      <c r="H45" t="s">
        <v>98</v>
      </c>
      <c r="I45">
        <v>2</v>
      </c>
      <c r="J45">
        <v>4</v>
      </c>
      <c r="K45" t="s">
        <v>468</v>
      </c>
    </row>
    <row r="46" spans="1:11" x14ac:dyDescent="0.2">
      <c r="A46" t="s">
        <v>152</v>
      </c>
      <c r="B46" t="s">
        <v>87</v>
      </c>
      <c r="C46" t="s">
        <v>34</v>
      </c>
      <c r="D46" t="s">
        <v>124</v>
      </c>
      <c r="F46" t="s">
        <v>37</v>
      </c>
      <c r="G46" t="s">
        <v>37</v>
      </c>
      <c r="H46" t="s">
        <v>98</v>
      </c>
      <c r="I46">
        <v>2</v>
      </c>
      <c r="J46">
        <v>1</v>
      </c>
      <c r="K46" t="s">
        <v>467</v>
      </c>
    </row>
    <row r="47" spans="1:11" x14ac:dyDescent="0.2">
      <c r="A47" t="s">
        <v>156</v>
      </c>
      <c r="B47" t="s">
        <v>45</v>
      </c>
      <c r="C47" t="s">
        <v>61</v>
      </c>
      <c r="D47" t="s">
        <v>47</v>
      </c>
      <c r="E47" t="s">
        <v>36</v>
      </c>
      <c r="F47" t="s">
        <v>37</v>
      </c>
      <c r="G47" t="s">
        <v>37</v>
      </c>
      <c r="H47" t="s">
        <v>38</v>
      </c>
      <c r="I47">
        <v>2</v>
      </c>
      <c r="J47">
        <v>2</v>
      </c>
      <c r="K47" t="s">
        <v>469</v>
      </c>
    </row>
    <row r="48" spans="1:11" x14ac:dyDescent="0.2">
      <c r="A48" t="s">
        <v>155</v>
      </c>
      <c r="B48" t="s">
        <v>45</v>
      </c>
      <c r="C48" t="s">
        <v>61</v>
      </c>
      <c r="D48" t="s">
        <v>47</v>
      </c>
      <c r="E48" t="s">
        <v>36</v>
      </c>
      <c r="F48" t="s">
        <v>37</v>
      </c>
      <c r="G48" t="s">
        <v>37</v>
      </c>
      <c r="H48" t="s">
        <v>38</v>
      </c>
      <c r="I48">
        <v>2</v>
      </c>
      <c r="J48">
        <v>1</v>
      </c>
      <c r="K48" t="s">
        <v>469</v>
      </c>
    </row>
    <row r="49" spans="1:11" x14ac:dyDescent="0.2">
      <c r="A49" t="s">
        <v>160</v>
      </c>
      <c r="B49" t="s">
        <v>60</v>
      </c>
      <c r="C49" t="s">
        <v>61</v>
      </c>
      <c r="D49" t="s">
        <v>47</v>
      </c>
      <c r="E49" t="s">
        <v>36</v>
      </c>
      <c r="F49" t="s">
        <v>37</v>
      </c>
      <c r="G49" t="s">
        <v>37</v>
      </c>
      <c r="H49" t="s">
        <v>38</v>
      </c>
      <c r="I49">
        <v>2</v>
      </c>
      <c r="J49">
        <v>2</v>
      </c>
      <c r="K49" t="s">
        <v>467</v>
      </c>
    </row>
    <row r="50" spans="1:11" x14ac:dyDescent="0.2">
      <c r="A50" t="s">
        <v>158</v>
      </c>
      <c r="B50" t="s">
        <v>60</v>
      </c>
      <c r="C50" t="s">
        <v>61</v>
      </c>
      <c r="D50" t="s">
        <v>47</v>
      </c>
      <c r="E50" t="s">
        <v>36</v>
      </c>
      <c r="F50" t="s">
        <v>37</v>
      </c>
      <c r="G50" t="s">
        <v>37</v>
      </c>
      <c r="H50" t="s">
        <v>38</v>
      </c>
      <c r="I50">
        <v>2</v>
      </c>
      <c r="J50">
        <v>2</v>
      </c>
      <c r="K50" t="s">
        <v>467</v>
      </c>
    </row>
    <row r="51" spans="1:11" x14ac:dyDescent="0.2">
      <c r="A51" t="s">
        <v>159</v>
      </c>
      <c r="B51" t="s">
        <v>60</v>
      </c>
      <c r="C51" t="s">
        <v>61</v>
      </c>
      <c r="D51" t="s">
        <v>47</v>
      </c>
      <c r="E51" t="s">
        <v>36</v>
      </c>
      <c r="F51" t="s">
        <v>37</v>
      </c>
      <c r="G51" t="s">
        <v>37</v>
      </c>
      <c r="H51" t="s">
        <v>98</v>
      </c>
      <c r="I51">
        <v>2</v>
      </c>
      <c r="J51">
        <v>3</v>
      </c>
      <c r="K51" t="s">
        <v>467</v>
      </c>
    </row>
    <row r="52" spans="1:11" x14ac:dyDescent="0.2">
      <c r="A52" t="s">
        <v>162</v>
      </c>
      <c r="B52" t="s">
        <v>45</v>
      </c>
      <c r="C52" t="s">
        <v>34</v>
      </c>
      <c r="D52" t="s">
        <v>35</v>
      </c>
      <c r="F52" t="s">
        <v>50</v>
      </c>
      <c r="G52" t="s">
        <v>51</v>
      </c>
      <c r="H52" t="s">
        <v>48</v>
      </c>
      <c r="I52">
        <v>1</v>
      </c>
      <c r="J52">
        <v>4</v>
      </c>
      <c r="K52" t="s">
        <v>336</v>
      </c>
    </row>
    <row r="53" spans="1:11" x14ac:dyDescent="0.2">
      <c r="A53" t="s">
        <v>166</v>
      </c>
      <c r="B53" t="s">
        <v>45</v>
      </c>
      <c r="C53" t="s">
        <v>34</v>
      </c>
      <c r="D53" t="s">
        <v>35</v>
      </c>
      <c r="E53" t="s">
        <v>36</v>
      </c>
      <c r="F53" t="s">
        <v>37</v>
      </c>
      <c r="G53" t="s">
        <v>37</v>
      </c>
      <c r="I53">
        <v>1</v>
      </c>
      <c r="J53">
        <v>1</v>
      </c>
      <c r="K53" t="s">
        <v>467</v>
      </c>
    </row>
    <row r="54" spans="1:11" x14ac:dyDescent="0.2">
      <c r="A54" t="s">
        <v>168</v>
      </c>
      <c r="B54" t="s">
        <v>45</v>
      </c>
      <c r="C54" t="s">
        <v>65</v>
      </c>
      <c r="D54" t="s">
        <v>47</v>
      </c>
      <c r="E54" t="s">
        <v>36</v>
      </c>
      <c r="F54" t="s">
        <v>50</v>
      </c>
      <c r="G54" t="s">
        <v>51</v>
      </c>
      <c r="H54" t="s">
        <v>38</v>
      </c>
      <c r="I54">
        <v>1</v>
      </c>
      <c r="J54">
        <v>5</v>
      </c>
      <c r="K54" t="s">
        <v>336</v>
      </c>
    </row>
    <row r="55" spans="1:11" x14ac:dyDescent="0.2">
      <c r="A55" t="s">
        <v>170</v>
      </c>
      <c r="B55" t="s">
        <v>82</v>
      </c>
      <c r="C55" t="s">
        <v>34</v>
      </c>
      <c r="D55" t="s">
        <v>35</v>
      </c>
      <c r="E55" t="s">
        <v>36</v>
      </c>
      <c r="F55" t="s">
        <v>50</v>
      </c>
      <c r="G55" t="s">
        <v>51</v>
      </c>
      <c r="H55" t="s">
        <v>98</v>
      </c>
      <c r="I55">
        <v>2</v>
      </c>
      <c r="J55">
        <v>6</v>
      </c>
      <c r="K55" t="s">
        <v>334</v>
      </c>
    </row>
    <row r="56" spans="1:11" x14ac:dyDescent="0.2">
      <c r="A56" t="s">
        <v>173</v>
      </c>
      <c r="B56" t="s">
        <v>45</v>
      </c>
      <c r="C56" t="s">
        <v>61</v>
      </c>
      <c r="D56" t="s">
        <v>35</v>
      </c>
      <c r="F56" t="s">
        <v>37</v>
      </c>
      <c r="G56" t="s">
        <v>37</v>
      </c>
      <c r="H56" t="s">
        <v>38</v>
      </c>
      <c r="I56">
        <v>2</v>
      </c>
      <c r="J56">
        <v>1</v>
      </c>
      <c r="K56" t="s">
        <v>468</v>
      </c>
    </row>
    <row r="57" spans="1:11" x14ac:dyDescent="0.2">
      <c r="A57" t="s">
        <v>172</v>
      </c>
      <c r="B57" t="s">
        <v>45</v>
      </c>
      <c r="C57" t="s">
        <v>61</v>
      </c>
      <c r="D57" t="s">
        <v>35</v>
      </c>
      <c r="F57" t="s">
        <v>37</v>
      </c>
      <c r="G57" t="s">
        <v>37</v>
      </c>
      <c r="H57" t="s">
        <v>38</v>
      </c>
      <c r="I57">
        <v>2</v>
      </c>
      <c r="J57">
        <v>1</v>
      </c>
      <c r="K57" t="s">
        <v>468</v>
      </c>
    </row>
    <row r="58" spans="1:11" x14ac:dyDescent="0.2">
      <c r="A58" t="s">
        <v>178</v>
      </c>
      <c r="B58" t="s">
        <v>176</v>
      </c>
      <c r="C58" t="s">
        <v>176</v>
      </c>
      <c r="D58" t="s">
        <v>176</v>
      </c>
      <c r="E58" t="s">
        <v>36</v>
      </c>
      <c r="F58" t="s">
        <v>37</v>
      </c>
      <c r="G58" t="s">
        <v>37</v>
      </c>
      <c r="H58" t="s">
        <v>38</v>
      </c>
      <c r="I58">
        <v>1</v>
      </c>
      <c r="J58">
        <v>2</v>
      </c>
      <c r="K58" t="s">
        <v>336</v>
      </c>
    </row>
    <row r="59" spans="1:11" x14ac:dyDescent="0.2">
      <c r="A59" t="s">
        <v>177</v>
      </c>
      <c r="B59" t="s">
        <v>176</v>
      </c>
      <c r="C59" t="s">
        <v>176</v>
      </c>
      <c r="D59" t="s">
        <v>176</v>
      </c>
      <c r="E59" t="s">
        <v>36</v>
      </c>
      <c r="F59" t="s">
        <v>50</v>
      </c>
      <c r="G59" t="s">
        <v>51</v>
      </c>
      <c r="H59" t="s">
        <v>38</v>
      </c>
      <c r="I59">
        <v>1</v>
      </c>
      <c r="J59">
        <v>4</v>
      </c>
      <c r="K59" t="s">
        <v>336</v>
      </c>
    </row>
    <row r="60" spans="1:11" x14ac:dyDescent="0.2">
      <c r="A60" t="s">
        <v>181</v>
      </c>
      <c r="B60" t="s">
        <v>60</v>
      </c>
      <c r="C60" t="s">
        <v>164</v>
      </c>
      <c r="D60" t="s">
        <v>124</v>
      </c>
      <c r="E60" t="s">
        <v>36</v>
      </c>
      <c r="F60" t="s">
        <v>37</v>
      </c>
      <c r="G60" t="s">
        <v>37</v>
      </c>
      <c r="H60" t="s">
        <v>38</v>
      </c>
      <c r="I60">
        <v>1</v>
      </c>
      <c r="J60">
        <v>2</v>
      </c>
      <c r="K60" t="s">
        <v>469</v>
      </c>
    </row>
    <row r="61" spans="1:11" x14ac:dyDescent="0.2">
      <c r="A61" t="s">
        <v>180</v>
      </c>
      <c r="B61" t="s">
        <v>60</v>
      </c>
      <c r="C61" t="s">
        <v>164</v>
      </c>
      <c r="D61" t="s">
        <v>124</v>
      </c>
      <c r="E61" t="s">
        <v>36</v>
      </c>
      <c r="F61" t="s">
        <v>37</v>
      </c>
      <c r="G61" t="s">
        <v>37</v>
      </c>
      <c r="H61" t="s">
        <v>38</v>
      </c>
      <c r="I61">
        <v>1</v>
      </c>
      <c r="J61">
        <v>2</v>
      </c>
      <c r="K61" t="s">
        <v>469</v>
      </c>
    </row>
    <row r="62" spans="1:11" x14ac:dyDescent="0.2">
      <c r="A62" t="s">
        <v>183</v>
      </c>
      <c r="B62" t="s">
        <v>45</v>
      </c>
      <c r="C62" t="s">
        <v>61</v>
      </c>
      <c r="D62" t="s">
        <v>47</v>
      </c>
      <c r="F62" t="s">
        <v>53</v>
      </c>
      <c r="G62" t="s">
        <v>174</v>
      </c>
      <c r="H62" t="s">
        <v>38</v>
      </c>
      <c r="I62">
        <v>1</v>
      </c>
      <c r="J62">
        <v>1</v>
      </c>
      <c r="K62" t="s">
        <v>467</v>
      </c>
    </row>
    <row r="63" spans="1:11" x14ac:dyDescent="0.2">
      <c r="A63" t="s">
        <v>186</v>
      </c>
      <c r="B63" t="s">
        <v>45</v>
      </c>
      <c r="C63" t="s">
        <v>34</v>
      </c>
      <c r="D63" t="s">
        <v>47</v>
      </c>
      <c r="F63" t="s">
        <v>37</v>
      </c>
      <c r="G63" t="s">
        <v>37</v>
      </c>
      <c r="H63" t="s">
        <v>71</v>
      </c>
      <c r="I63">
        <v>2</v>
      </c>
      <c r="J63">
        <v>1</v>
      </c>
      <c r="K63" t="s">
        <v>468</v>
      </c>
    </row>
    <row r="64" spans="1:11" x14ac:dyDescent="0.2">
      <c r="A64" t="s">
        <v>185</v>
      </c>
      <c r="B64" t="s">
        <v>45</v>
      </c>
      <c r="C64" t="s">
        <v>34</v>
      </c>
      <c r="D64" t="s">
        <v>47</v>
      </c>
      <c r="F64" t="s">
        <v>37</v>
      </c>
      <c r="G64" t="s">
        <v>37</v>
      </c>
      <c r="H64" t="s">
        <v>38</v>
      </c>
      <c r="I64">
        <v>2</v>
      </c>
      <c r="J64">
        <v>1</v>
      </c>
      <c r="K64" t="s">
        <v>468</v>
      </c>
    </row>
    <row r="65" spans="1:11" x14ac:dyDescent="0.2">
      <c r="A65" t="s">
        <v>190</v>
      </c>
      <c r="B65" t="s">
        <v>96</v>
      </c>
      <c r="C65" t="s">
        <v>68</v>
      </c>
      <c r="D65" t="s">
        <v>69</v>
      </c>
      <c r="F65" t="s">
        <v>37</v>
      </c>
      <c r="G65" t="s">
        <v>37</v>
      </c>
      <c r="H65" t="s">
        <v>48</v>
      </c>
      <c r="I65">
        <v>1</v>
      </c>
      <c r="J65">
        <v>1</v>
      </c>
      <c r="K65" t="s">
        <v>467</v>
      </c>
    </row>
    <row r="66" spans="1:11" x14ac:dyDescent="0.2">
      <c r="A66" t="s">
        <v>192</v>
      </c>
      <c r="B66" t="s">
        <v>96</v>
      </c>
      <c r="C66" t="s">
        <v>68</v>
      </c>
      <c r="D66" t="s">
        <v>69</v>
      </c>
      <c r="F66" t="s">
        <v>37</v>
      </c>
      <c r="G66" t="s">
        <v>37</v>
      </c>
      <c r="H66" t="s">
        <v>48</v>
      </c>
      <c r="I66">
        <v>1</v>
      </c>
      <c r="J66">
        <v>2</v>
      </c>
      <c r="K66" t="s">
        <v>469</v>
      </c>
    </row>
    <row r="67" spans="1:11" x14ac:dyDescent="0.2">
      <c r="A67" t="s">
        <v>191</v>
      </c>
      <c r="B67" t="s">
        <v>96</v>
      </c>
      <c r="C67" t="s">
        <v>68</v>
      </c>
      <c r="D67" t="s">
        <v>69</v>
      </c>
      <c r="F67" t="s">
        <v>37</v>
      </c>
      <c r="G67" t="s">
        <v>37</v>
      </c>
      <c r="H67" t="s">
        <v>48</v>
      </c>
      <c r="I67">
        <v>1</v>
      </c>
      <c r="J67">
        <v>1</v>
      </c>
      <c r="K67" t="s">
        <v>467</v>
      </c>
    </row>
    <row r="68" spans="1:11" x14ac:dyDescent="0.2">
      <c r="A68" t="s">
        <v>189</v>
      </c>
      <c r="B68" t="s">
        <v>96</v>
      </c>
      <c r="C68" t="s">
        <v>68</v>
      </c>
      <c r="D68" t="s">
        <v>69</v>
      </c>
      <c r="F68" t="s">
        <v>37</v>
      </c>
      <c r="G68" t="s">
        <v>37</v>
      </c>
      <c r="H68" t="s">
        <v>38</v>
      </c>
      <c r="I68">
        <v>1</v>
      </c>
      <c r="J68">
        <v>1</v>
      </c>
      <c r="K68" t="s">
        <v>467</v>
      </c>
    </row>
    <row r="69" spans="1:11" x14ac:dyDescent="0.2">
      <c r="A69" t="s">
        <v>194</v>
      </c>
      <c r="B69" t="s">
        <v>82</v>
      </c>
      <c r="C69" t="s">
        <v>34</v>
      </c>
      <c r="D69" t="s">
        <v>47</v>
      </c>
      <c r="E69" t="s">
        <v>36</v>
      </c>
      <c r="F69" t="s">
        <v>37</v>
      </c>
      <c r="G69" t="s">
        <v>37</v>
      </c>
      <c r="H69" t="s">
        <v>38</v>
      </c>
      <c r="I69">
        <v>1</v>
      </c>
      <c r="J69">
        <v>2</v>
      </c>
      <c r="K69" t="s">
        <v>469</v>
      </c>
    </row>
    <row r="70" spans="1:11" x14ac:dyDescent="0.2">
      <c r="A70" t="s">
        <v>197</v>
      </c>
      <c r="B70" t="s">
        <v>45</v>
      </c>
      <c r="C70" t="s">
        <v>46</v>
      </c>
      <c r="D70" t="s">
        <v>35</v>
      </c>
      <c r="E70" t="s">
        <v>36</v>
      </c>
      <c r="F70" t="s">
        <v>37</v>
      </c>
      <c r="G70" t="s">
        <v>37</v>
      </c>
      <c r="H70" t="s">
        <v>52</v>
      </c>
      <c r="I70">
        <v>1</v>
      </c>
      <c r="J70">
        <v>7</v>
      </c>
      <c r="K70" t="s">
        <v>336</v>
      </c>
    </row>
    <row r="71" spans="1:11" x14ac:dyDescent="0.2">
      <c r="A71" t="s">
        <v>196</v>
      </c>
      <c r="B71" t="s">
        <v>45</v>
      </c>
      <c r="C71" t="s">
        <v>46</v>
      </c>
      <c r="D71" t="s">
        <v>35</v>
      </c>
      <c r="E71" t="s">
        <v>36</v>
      </c>
      <c r="F71" t="s">
        <v>50</v>
      </c>
      <c r="G71" t="s">
        <v>51</v>
      </c>
      <c r="H71" t="s">
        <v>52</v>
      </c>
      <c r="I71">
        <v>1</v>
      </c>
      <c r="J71">
        <v>5</v>
      </c>
      <c r="K71" t="s">
        <v>336</v>
      </c>
    </row>
    <row r="72" spans="1:11" x14ac:dyDescent="0.2">
      <c r="A72" t="s">
        <v>198</v>
      </c>
      <c r="B72" t="s">
        <v>45</v>
      </c>
      <c r="C72" t="s">
        <v>46</v>
      </c>
      <c r="D72" t="s">
        <v>35</v>
      </c>
      <c r="E72" t="s">
        <v>36</v>
      </c>
      <c r="F72" t="s">
        <v>50</v>
      </c>
      <c r="G72" t="s">
        <v>51</v>
      </c>
      <c r="H72" t="s">
        <v>52</v>
      </c>
      <c r="I72">
        <v>1</v>
      </c>
      <c r="J72">
        <v>5</v>
      </c>
      <c r="K72" t="s">
        <v>336</v>
      </c>
    </row>
    <row r="73" spans="1:11" x14ac:dyDescent="0.2">
      <c r="A73" t="s">
        <v>201</v>
      </c>
      <c r="B73" t="s">
        <v>33</v>
      </c>
      <c r="C73" t="s">
        <v>61</v>
      </c>
      <c r="D73" t="s">
        <v>47</v>
      </c>
      <c r="F73" t="s">
        <v>50</v>
      </c>
      <c r="G73" t="s">
        <v>51</v>
      </c>
      <c r="H73" t="s">
        <v>38</v>
      </c>
      <c r="I73">
        <v>2</v>
      </c>
      <c r="J73">
        <v>4</v>
      </c>
      <c r="K73" t="s">
        <v>468</v>
      </c>
    </row>
    <row r="74" spans="1:11" x14ac:dyDescent="0.2">
      <c r="A74" t="s">
        <v>200</v>
      </c>
      <c r="B74" t="s">
        <v>33</v>
      </c>
      <c r="C74" t="s">
        <v>61</v>
      </c>
      <c r="D74" t="s">
        <v>47</v>
      </c>
      <c r="E74" t="s">
        <v>36</v>
      </c>
      <c r="F74" t="s">
        <v>37</v>
      </c>
      <c r="G74" t="s">
        <v>37</v>
      </c>
      <c r="H74" t="s">
        <v>38</v>
      </c>
      <c r="I74">
        <v>2</v>
      </c>
      <c r="J74">
        <v>1</v>
      </c>
      <c r="K74" t="s">
        <v>468</v>
      </c>
    </row>
    <row r="75" spans="1:11" x14ac:dyDescent="0.2">
      <c r="A75" t="s">
        <v>204</v>
      </c>
      <c r="B75" t="s">
        <v>45</v>
      </c>
      <c r="C75" t="s">
        <v>34</v>
      </c>
      <c r="D75" t="s">
        <v>35</v>
      </c>
      <c r="E75" t="s">
        <v>36</v>
      </c>
      <c r="F75" t="s">
        <v>37</v>
      </c>
      <c r="G75" t="s">
        <v>37</v>
      </c>
      <c r="H75" t="s">
        <v>38</v>
      </c>
      <c r="I75">
        <v>1</v>
      </c>
      <c r="J75">
        <v>2</v>
      </c>
      <c r="K75" t="s">
        <v>469</v>
      </c>
    </row>
    <row r="76" spans="1:11" x14ac:dyDescent="0.2">
      <c r="A76" t="s">
        <v>203</v>
      </c>
      <c r="B76" t="s">
        <v>45</v>
      </c>
      <c r="C76" t="s">
        <v>34</v>
      </c>
      <c r="D76" t="s">
        <v>35</v>
      </c>
      <c r="F76" t="s">
        <v>50</v>
      </c>
      <c r="G76" t="s">
        <v>51</v>
      </c>
      <c r="H76" t="s">
        <v>71</v>
      </c>
      <c r="I76">
        <v>1</v>
      </c>
      <c r="J76">
        <v>4</v>
      </c>
      <c r="K76" t="s">
        <v>336</v>
      </c>
    </row>
    <row r="77" spans="1:11" x14ac:dyDescent="0.2">
      <c r="A77" t="s">
        <v>207</v>
      </c>
      <c r="B77" t="s">
        <v>64</v>
      </c>
      <c r="C77" t="s">
        <v>163</v>
      </c>
      <c r="D77" t="s">
        <v>47</v>
      </c>
      <c r="F77" t="s">
        <v>50</v>
      </c>
      <c r="G77" t="s">
        <v>51</v>
      </c>
      <c r="H77" t="s">
        <v>48</v>
      </c>
      <c r="I77">
        <v>1</v>
      </c>
      <c r="J77">
        <v>4</v>
      </c>
      <c r="K77" t="s">
        <v>470</v>
      </c>
    </row>
    <row r="78" spans="1:11" x14ac:dyDescent="0.2">
      <c r="A78" t="s">
        <v>207</v>
      </c>
      <c r="B78" t="s">
        <v>64</v>
      </c>
      <c r="C78" t="s">
        <v>163</v>
      </c>
      <c r="D78" t="s">
        <v>47</v>
      </c>
      <c r="F78" t="s">
        <v>50</v>
      </c>
      <c r="G78" t="s">
        <v>51</v>
      </c>
      <c r="H78" t="s">
        <v>38</v>
      </c>
      <c r="I78">
        <v>1</v>
      </c>
      <c r="J78">
        <v>4</v>
      </c>
      <c r="K78" t="s">
        <v>470</v>
      </c>
    </row>
    <row r="79" spans="1:11" x14ac:dyDescent="0.2">
      <c r="A79" t="s">
        <v>209</v>
      </c>
      <c r="B79" t="s">
        <v>45</v>
      </c>
      <c r="C79" t="s">
        <v>34</v>
      </c>
      <c r="D79" t="s">
        <v>35</v>
      </c>
      <c r="F79" t="s">
        <v>50</v>
      </c>
      <c r="G79" t="s">
        <v>51</v>
      </c>
      <c r="H79" t="s">
        <v>48</v>
      </c>
      <c r="I79">
        <v>1</v>
      </c>
      <c r="J79">
        <v>4</v>
      </c>
      <c r="K79" t="s">
        <v>471</v>
      </c>
    </row>
    <row r="80" spans="1:11" x14ac:dyDescent="0.2">
      <c r="A80" t="s">
        <v>211</v>
      </c>
      <c r="B80" t="s">
        <v>45</v>
      </c>
      <c r="C80" t="s">
        <v>34</v>
      </c>
      <c r="D80" t="s">
        <v>35</v>
      </c>
      <c r="F80" t="s">
        <v>37</v>
      </c>
      <c r="G80" t="s">
        <v>37</v>
      </c>
      <c r="H80" t="s">
        <v>52</v>
      </c>
      <c r="I80">
        <v>1</v>
      </c>
      <c r="J80">
        <v>3</v>
      </c>
      <c r="K80" t="s">
        <v>336</v>
      </c>
    </row>
    <row r="81" spans="1:11" x14ac:dyDescent="0.2">
      <c r="A81" t="s">
        <v>215</v>
      </c>
      <c r="B81" t="s">
        <v>45</v>
      </c>
      <c r="C81" t="s">
        <v>68</v>
      </c>
      <c r="D81" t="s">
        <v>56</v>
      </c>
      <c r="E81" t="s">
        <v>36</v>
      </c>
      <c r="F81" t="s">
        <v>53</v>
      </c>
      <c r="G81" t="s">
        <v>121</v>
      </c>
      <c r="H81" t="s">
        <v>214</v>
      </c>
      <c r="I81">
        <v>2</v>
      </c>
      <c r="J81">
        <v>6</v>
      </c>
      <c r="K81" t="s">
        <v>338</v>
      </c>
    </row>
    <row r="82" spans="1:11" x14ac:dyDescent="0.2">
      <c r="A82" t="s">
        <v>213</v>
      </c>
      <c r="B82" t="s">
        <v>45</v>
      </c>
      <c r="C82" t="s">
        <v>68</v>
      </c>
      <c r="D82" t="s">
        <v>56</v>
      </c>
      <c r="E82" t="s">
        <v>36</v>
      </c>
      <c r="F82" t="s">
        <v>50</v>
      </c>
      <c r="G82" t="s">
        <v>51</v>
      </c>
      <c r="H82" t="s">
        <v>98</v>
      </c>
      <c r="I82">
        <v>2</v>
      </c>
      <c r="J82">
        <v>4</v>
      </c>
      <c r="K82" t="s">
        <v>468</v>
      </c>
    </row>
    <row r="83" spans="1:11" x14ac:dyDescent="0.2">
      <c r="A83" t="s">
        <v>217</v>
      </c>
      <c r="B83" t="s">
        <v>45</v>
      </c>
      <c r="C83" t="s">
        <v>68</v>
      </c>
      <c r="D83" t="s">
        <v>109</v>
      </c>
      <c r="E83" t="s">
        <v>36</v>
      </c>
      <c r="F83" t="s">
        <v>37</v>
      </c>
      <c r="G83" t="s">
        <v>37</v>
      </c>
      <c r="H83" t="s">
        <v>71</v>
      </c>
      <c r="I83">
        <v>1</v>
      </c>
      <c r="J83">
        <v>1</v>
      </c>
      <c r="K83" t="s">
        <v>469</v>
      </c>
    </row>
    <row r="84" spans="1:11" x14ac:dyDescent="0.2">
      <c r="A84" t="s">
        <v>219</v>
      </c>
      <c r="B84" t="s">
        <v>45</v>
      </c>
      <c r="C84" t="s">
        <v>34</v>
      </c>
      <c r="D84" t="s">
        <v>35</v>
      </c>
      <c r="F84" t="s">
        <v>37</v>
      </c>
      <c r="G84" t="s">
        <v>37</v>
      </c>
      <c r="H84" t="s">
        <v>38</v>
      </c>
      <c r="I84">
        <v>1</v>
      </c>
      <c r="J84">
        <v>1</v>
      </c>
      <c r="K84" t="s">
        <v>467</v>
      </c>
    </row>
    <row r="85" spans="1:11" x14ac:dyDescent="0.2">
      <c r="A85" t="s">
        <v>221</v>
      </c>
      <c r="B85" t="s">
        <v>45</v>
      </c>
      <c r="C85" t="s">
        <v>46</v>
      </c>
      <c r="D85" t="s">
        <v>35</v>
      </c>
      <c r="F85" t="s">
        <v>50</v>
      </c>
      <c r="G85" t="s">
        <v>51</v>
      </c>
      <c r="H85" t="s">
        <v>48</v>
      </c>
      <c r="I85">
        <v>1</v>
      </c>
      <c r="J85">
        <v>4</v>
      </c>
      <c r="K85" t="s">
        <v>336</v>
      </c>
    </row>
    <row r="86" spans="1:11" x14ac:dyDescent="0.2">
      <c r="A86" t="s">
        <v>222</v>
      </c>
      <c r="B86" t="s">
        <v>45</v>
      </c>
      <c r="C86" t="s">
        <v>46</v>
      </c>
      <c r="D86" t="s">
        <v>35</v>
      </c>
      <c r="F86" t="s">
        <v>50</v>
      </c>
      <c r="G86" t="s">
        <v>51</v>
      </c>
      <c r="H86" t="s">
        <v>71</v>
      </c>
      <c r="I86">
        <v>1</v>
      </c>
      <c r="J86">
        <v>4</v>
      </c>
      <c r="K86" t="s">
        <v>336</v>
      </c>
    </row>
    <row r="87" spans="1:11" x14ac:dyDescent="0.2">
      <c r="A87" t="s">
        <v>234</v>
      </c>
      <c r="B87" t="s">
        <v>33</v>
      </c>
      <c r="C87" t="s">
        <v>34</v>
      </c>
      <c r="D87" t="s">
        <v>35</v>
      </c>
      <c r="F87" t="s">
        <v>37</v>
      </c>
      <c r="G87" t="s">
        <v>37</v>
      </c>
      <c r="H87" t="s">
        <v>48</v>
      </c>
      <c r="I87">
        <v>1</v>
      </c>
      <c r="J87">
        <v>2</v>
      </c>
      <c r="K87" t="s">
        <v>467</v>
      </c>
    </row>
    <row r="88" spans="1:11" x14ac:dyDescent="0.2">
      <c r="A88" t="s">
        <v>235</v>
      </c>
      <c r="B88" t="s">
        <v>33</v>
      </c>
      <c r="C88" t="s">
        <v>34</v>
      </c>
      <c r="D88" t="s">
        <v>35</v>
      </c>
      <c r="F88" t="s">
        <v>37</v>
      </c>
      <c r="G88" t="s">
        <v>37</v>
      </c>
      <c r="H88" t="s">
        <v>38</v>
      </c>
      <c r="I88">
        <v>1</v>
      </c>
      <c r="J88">
        <v>1</v>
      </c>
      <c r="K88" t="s">
        <v>467</v>
      </c>
    </row>
    <row r="89" spans="1:11" x14ac:dyDescent="0.2">
      <c r="A89" t="s">
        <v>237</v>
      </c>
      <c r="B89" t="s">
        <v>60</v>
      </c>
      <c r="C89" t="s">
        <v>164</v>
      </c>
      <c r="D89" t="s">
        <v>47</v>
      </c>
      <c r="E89" t="s">
        <v>36</v>
      </c>
      <c r="F89" t="s">
        <v>53</v>
      </c>
      <c r="G89" t="s">
        <v>54</v>
      </c>
      <c r="H89" t="s">
        <v>38</v>
      </c>
      <c r="I89">
        <v>1</v>
      </c>
      <c r="J89">
        <v>1</v>
      </c>
      <c r="K89" t="s">
        <v>467</v>
      </c>
    </row>
    <row r="90" spans="1:11" x14ac:dyDescent="0.2">
      <c r="A90" t="s">
        <v>240</v>
      </c>
      <c r="B90" t="s">
        <v>60</v>
      </c>
      <c r="C90" t="s">
        <v>34</v>
      </c>
      <c r="D90" t="s">
        <v>47</v>
      </c>
      <c r="F90" t="s">
        <v>50</v>
      </c>
      <c r="G90" t="s">
        <v>51</v>
      </c>
      <c r="H90" t="s">
        <v>239</v>
      </c>
      <c r="I90">
        <v>1</v>
      </c>
      <c r="J90">
        <v>4</v>
      </c>
      <c r="K90" t="s">
        <v>471</v>
      </c>
    </row>
    <row r="91" spans="1:11" x14ac:dyDescent="0.2">
      <c r="A91" t="s">
        <v>242</v>
      </c>
      <c r="B91" t="s">
        <v>60</v>
      </c>
      <c r="C91" t="s">
        <v>68</v>
      </c>
      <c r="D91" t="s">
        <v>109</v>
      </c>
      <c r="E91" t="s">
        <v>36</v>
      </c>
      <c r="F91" t="s">
        <v>50</v>
      </c>
      <c r="G91" t="s">
        <v>51</v>
      </c>
      <c r="H91" t="s">
        <v>71</v>
      </c>
      <c r="I91">
        <v>1</v>
      </c>
      <c r="J91">
        <v>4</v>
      </c>
      <c r="K91" t="s">
        <v>336</v>
      </c>
    </row>
    <row r="92" spans="1:11" x14ac:dyDescent="0.2">
      <c r="A92" t="s">
        <v>244</v>
      </c>
      <c r="B92" t="s">
        <v>45</v>
      </c>
      <c r="C92" t="s">
        <v>65</v>
      </c>
      <c r="D92" t="s">
        <v>109</v>
      </c>
      <c r="F92" t="s">
        <v>50</v>
      </c>
      <c r="G92" t="s">
        <v>51</v>
      </c>
      <c r="H92" t="s">
        <v>38</v>
      </c>
      <c r="I92">
        <v>2</v>
      </c>
      <c r="J92">
        <v>4</v>
      </c>
      <c r="K92" t="s">
        <v>468</v>
      </c>
    </row>
    <row r="93" spans="1:11" x14ac:dyDescent="0.2">
      <c r="A93" t="s">
        <v>251</v>
      </c>
      <c r="B93" t="s">
        <v>60</v>
      </c>
      <c r="C93" t="s">
        <v>61</v>
      </c>
      <c r="D93" t="s">
        <v>47</v>
      </c>
      <c r="E93" t="s">
        <v>36</v>
      </c>
      <c r="F93" t="s">
        <v>37</v>
      </c>
      <c r="G93" t="s">
        <v>37</v>
      </c>
      <c r="H93" t="s">
        <v>38</v>
      </c>
      <c r="I93">
        <v>2</v>
      </c>
      <c r="J93">
        <v>2</v>
      </c>
      <c r="K93" t="s">
        <v>467</v>
      </c>
    </row>
    <row r="94" spans="1:11" x14ac:dyDescent="0.2">
      <c r="A94" t="s">
        <v>248</v>
      </c>
      <c r="B94" t="s">
        <v>60</v>
      </c>
      <c r="C94" t="s">
        <v>61</v>
      </c>
      <c r="D94" t="s">
        <v>47</v>
      </c>
      <c r="E94" t="s">
        <v>36</v>
      </c>
      <c r="F94" t="s">
        <v>50</v>
      </c>
      <c r="G94" t="s">
        <v>51</v>
      </c>
      <c r="H94" t="s">
        <v>98</v>
      </c>
      <c r="I94">
        <v>2</v>
      </c>
      <c r="J94">
        <v>6</v>
      </c>
      <c r="K94" t="s">
        <v>334</v>
      </c>
    </row>
    <row r="95" spans="1:11" x14ac:dyDescent="0.2">
      <c r="A95" t="s">
        <v>253</v>
      </c>
      <c r="B95" t="s">
        <v>45</v>
      </c>
      <c r="C95" t="s">
        <v>34</v>
      </c>
      <c r="D95" t="s">
        <v>35</v>
      </c>
      <c r="F95" t="s">
        <v>37</v>
      </c>
      <c r="G95" t="s">
        <v>37</v>
      </c>
      <c r="H95" t="s">
        <v>38</v>
      </c>
      <c r="I95">
        <v>1</v>
      </c>
      <c r="J95">
        <v>1</v>
      </c>
      <c r="K95" t="s">
        <v>467</v>
      </c>
    </row>
    <row r="96" spans="1:11" x14ac:dyDescent="0.2">
      <c r="A96" t="s">
        <v>263</v>
      </c>
      <c r="B96" t="s">
        <v>60</v>
      </c>
      <c r="C96" t="s">
        <v>46</v>
      </c>
      <c r="D96" t="s">
        <v>47</v>
      </c>
      <c r="E96" t="s">
        <v>36</v>
      </c>
      <c r="F96" t="s">
        <v>50</v>
      </c>
      <c r="G96" t="s">
        <v>51</v>
      </c>
      <c r="H96" t="s">
        <v>98</v>
      </c>
      <c r="I96">
        <v>2</v>
      </c>
      <c r="J96">
        <v>6</v>
      </c>
      <c r="K96" t="s">
        <v>334</v>
      </c>
    </row>
    <row r="97" spans="1:11" x14ac:dyDescent="0.2">
      <c r="A97" t="s">
        <v>258</v>
      </c>
      <c r="B97" t="s">
        <v>60</v>
      </c>
      <c r="C97" t="s">
        <v>46</v>
      </c>
      <c r="D97" t="s">
        <v>47</v>
      </c>
      <c r="E97" t="s">
        <v>36</v>
      </c>
      <c r="F97" t="s">
        <v>50</v>
      </c>
      <c r="G97" t="s">
        <v>51</v>
      </c>
      <c r="H97" t="s">
        <v>38</v>
      </c>
      <c r="I97">
        <v>2</v>
      </c>
      <c r="J97">
        <v>4</v>
      </c>
      <c r="K97" t="s">
        <v>472</v>
      </c>
    </row>
    <row r="98" spans="1:11" x14ac:dyDescent="0.2">
      <c r="A98" t="s">
        <v>256</v>
      </c>
      <c r="B98" t="s">
        <v>60</v>
      </c>
      <c r="C98" t="s">
        <v>46</v>
      </c>
      <c r="D98" t="s">
        <v>47</v>
      </c>
      <c r="E98" t="s">
        <v>36</v>
      </c>
      <c r="F98" t="s">
        <v>50</v>
      </c>
      <c r="G98" t="s">
        <v>51</v>
      </c>
      <c r="H98" t="s">
        <v>38</v>
      </c>
      <c r="I98">
        <v>2</v>
      </c>
      <c r="J98">
        <v>4</v>
      </c>
      <c r="K98" t="s">
        <v>472</v>
      </c>
    </row>
    <row r="99" spans="1:11" x14ac:dyDescent="0.2">
      <c r="A99" t="s">
        <v>257</v>
      </c>
      <c r="B99" t="s">
        <v>60</v>
      </c>
      <c r="C99" t="s">
        <v>46</v>
      </c>
      <c r="D99" t="s">
        <v>47</v>
      </c>
      <c r="E99" t="s">
        <v>36</v>
      </c>
      <c r="F99" t="s">
        <v>37</v>
      </c>
      <c r="G99" t="s">
        <v>37</v>
      </c>
      <c r="H99" t="s">
        <v>38</v>
      </c>
      <c r="I99">
        <v>2</v>
      </c>
      <c r="J99">
        <v>2</v>
      </c>
      <c r="K99" t="s">
        <v>469</v>
      </c>
    </row>
    <row r="100" spans="1:11" x14ac:dyDescent="0.2">
      <c r="A100" t="s">
        <v>261</v>
      </c>
      <c r="B100" t="s">
        <v>60</v>
      </c>
      <c r="C100" t="s">
        <v>46</v>
      </c>
      <c r="D100" t="s">
        <v>47</v>
      </c>
      <c r="E100" t="s">
        <v>36</v>
      </c>
      <c r="F100" t="s">
        <v>37</v>
      </c>
      <c r="G100" t="s">
        <v>37</v>
      </c>
      <c r="H100" t="s">
        <v>38</v>
      </c>
      <c r="I100">
        <v>2</v>
      </c>
      <c r="J100">
        <v>2</v>
      </c>
      <c r="K100" t="s">
        <v>469</v>
      </c>
    </row>
    <row r="101" spans="1:11" x14ac:dyDescent="0.2">
      <c r="A101" t="s">
        <v>259</v>
      </c>
      <c r="B101" t="s">
        <v>60</v>
      </c>
      <c r="C101" t="s">
        <v>46</v>
      </c>
      <c r="D101" t="s">
        <v>47</v>
      </c>
      <c r="E101" t="s">
        <v>36</v>
      </c>
      <c r="F101" t="s">
        <v>37</v>
      </c>
      <c r="G101" t="s">
        <v>37</v>
      </c>
      <c r="H101" t="s">
        <v>38</v>
      </c>
      <c r="I101">
        <v>2</v>
      </c>
      <c r="J101">
        <v>1</v>
      </c>
      <c r="K101" t="s">
        <v>467</v>
      </c>
    </row>
    <row r="102" spans="1:11" x14ac:dyDescent="0.2">
      <c r="A102" t="s">
        <v>260</v>
      </c>
      <c r="B102" t="s">
        <v>60</v>
      </c>
      <c r="C102" t="s">
        <v>46</v>
      </c>
      <c r="D102" t="s">
        <v>47</v>
      </c>
      <c r="F102" t="s">
        <v>37</v>
      </c>
      <c r="G102" t="s">
        <v>37</v>
      </c>
      <c r="H102" t="s">
        <v>48</v>
      </c>
      <c r="I102">
        <v>2</v>
      </c>
      <c r="J102">
        <v>1</v>
      </c>
      <c r="K102" t="s">
        <v>468</v>
      </c>
    </row>
    <row r="103" spans="1:11" x14ac:dyDescent="0.2">
      <c r="A103" t="s">
        <v>262</v>
      </c>
      <c r="B103" t="s">
        <v>60</v>
      </c>
      <c r="C103" t="s">
        <v>46</v>
      </c>
      <c r="D103" t="s">
        <v>47</v>
      </c>
      <c r="F103" t="s">
        <v>37</v>
      </c>
      <c r="G103" t="s">
        <v>37</v>
      </c>
      <c r="H103" t="s">
        <v>38</v>
      </c>
      <c r="I103">
        <v>2</v>
      </c>
      <c r="J103">
        <v>1</v>
      </c>
      <c r="K103" t="s">
        <v>468</v>
      </c>
    </row>
    <row r="104" spans="1:11" x14ac:dyDescent="0.2">
      <c r="A104" t="s">
        <v>269</v>
      </c>
      <c r="B104" t="s">
        <v>45</v>
      </c>
      <c r="C104" t="s">
        <v>34</v>
      </c>
      <c r="D104" t="s">
        <v>35</v>
      </c>
      <c r="E104" t="s">
        <v>36</v>
      </c>
      <c r="F104" t="s">
        <v>37</v>
      </c>
      <c r="G104" t="s">
        <v>37</v>
      </c>
      <c r="H104" t="s">
        <v>38</v>
      </c>
      <c r="I104">
        <v>2</v>
      </c>
      <c r="J104">
        <v>2</v>
      </c>
      <c r="K104" t="s">
        <v>469</v>
      </c>
    </row>
    <row r="105" spans="1:11" x14ac:dyDescent="0.2">
      <c r="A105" t="s">
        <v>270</v>
      </c>
      <c r="B105" t="s">
        <v>45</v>
      </c>
      <c r="C105" t="s">
        <v>34</v>
      </c>
      <c r="D105" t="s">
        <v>35</v>
      </c>
      <c r="F105" t="s">
        <v>37</v>
      </c>
      <c r="G105" t="s">
        <v>37</v>
      </c>
      <c r="H105" t="s">
        <v>266</v>
      </c>
      <c r="I105">
        <v>2</v>
      </c>
      <c r="J105">
        <v>2</v>
      </c>
      <c r="K105" t="s">
        <v>468</v>
      </c>
    </row>
    <row r="106" spans="1:11" x14ac:dyDescent="0.2">
      <c r="A106" t="s">
        <v>268</v>
      </c>
      <c r="B106" t="s">
        <v>45</v>
      </c>
      <c r="C106" t="s">
        <v>34</v>
      </c>
      <c r="D106" t="s">
        <v>35</v>
      </c>
      <c r="F106" t="s">
        <v>37</v>
      </c>
      <c r="G106" t="s">
        <v>37</v>
      </c>
      <c r="H106" t="s">
        <v>38</v>
      </c>
      <c r="I106">
        <v>2</v>
      </c>
      <c r="J106">
        <v>2</v>
      </c>
      <c r="K106" t="s">
        <v>469</v>
      </c>
    </row>
    <row r="107" spans="1:11" x14ac:dyDescent="0.2">
      <c r="A107" t="s">
        <v>267</v>
      </c>
      <c r="B107" t="s">
        <v>45</v>
      </c>
      <c r="C107" t="s">
        <v>34</v>
      </c>
      <c r="D107" t="s">
        <v>35</v>
      </c>
      <c r="F107" t="s">
        <v>37</v>
      </c>
      <c r="G107" t="s">
        <v>37</v>
      </c>
      <c r="H107" t="s">
        <v>266</v>
      </c>
      <c r="I107">
        <v>2</v>
      </c>
      <c r="J107">
        <v>2</v>
      </c>
      <c r="K107" t="s">
        <v>468</v>
      </c>
    </row>
    <row r="108" spans="1:11" x14ac:dyDescent="0.2">
      <c r="A108" t="s">
        <v>272</v>
      </c>
      <c r="B108" t="s">
        <v>33</v>
      </c>
      <c r="C108" t="s">
        <v>34</v>
      </c>
      <c r="D108" t="s">
        <v>69</v>
      </c>
      <c r="F108" t="s">
        <v>50</v>
      </c>
      <c r="G108" t="s">
        <v>51</v>
      </c>
      <c r="H108" t="s">
        <v>71</v>
      </c>
      <c r="I108">
        <v>1</v>
      </c>
      <c r="J108">
        <v>4</v>
      </c>
      <c r="K108" t="s">
        <v>472</v>
      </c>
    </row>
    <row r="109" spans="1:11" x14ac:dyDescent="0.2">
      <c r="A109" t="s">
        <v>274</v>
      </c>
      <c r="B109" t="s">
        <v>87</v>
      </c>
      <c r="C109" t="s">
        <v>34</v>
      </c>
      <c r="D109" t="s">
        <v>35</v>
      </c>
      <c r="F109" t="s">
        <v>37</v>
      </c>
      <c r="G109" t="s">
        <v>37</v>
      </c>
      <c r="H109" t="s">
        <v>38</v>
      </c>
      <c r="I109">
        <v>1</v>
      </c>
      <c r="J109">
        <v>1</v>
      </c>
      <c r="K109" t="s">
        <v>469</v>
      </c>
    </row>
    <row r="110" spans="1:11" x14ac:dyDescent="0.2">
      <c r="A110" t="s">
        <v>276</v>
      </c>
      <c r="B110" t="s">
        <v>229</v>
      </c>
      <c r="C110" t="s">
        <v>34</v>
      </c>
      <c r="D110" t="s">
        <v>232</v>
      </c>
      <c r="E110" t="s">
        <v>36</v>
      </c>
      <c r="F110" t="s">
        <v>50</v>
      </c>
      <c r="G110" t="s">
        <v>51</v>
      </c>
      <c r="I110">
        <v>1</v>
      </c>
      <c r="J110">
        <v>4</v>
      </c>
      <c r="K110" t="s">
        <v>336</v>
      </c>
    </row>
    <row r="111" spans="1:11" x14ac:dyDescent="0.2">
      <c r="A111" t="s">
        <v>277</v>
      </c>
      <c r="B111" t="s">
        <v>229</v>
      </c>
      <c r="C111" t="s">
        <v>34</v>
      </c>
      <c r="D111" t="s">
        <v>232</v>
      </c>
      <c r="E111" t="s">
        <v>36</v>
      </c>
      <c r="F111" t="s">
        <v>37</v>
      </c>
      <c r="G111" t="s">
        <v>37</v>
      </c>
      <c r="H111" t="s">
        <v>38</v>
      </c>
      <c r="I111">
        <v>1</v>
      </c>
      <c r="J111">
        <v>2</v>
      </c>
      <c r="K111" t="s">
        <v>469</v>
      </c>
    </row>
    <row r="112" spans="1:11" x14ac:dyDescent="0.2">
      <c r="A112" t="s">
        <v>283</v>
      </c>
      <c r="B112" t="s">
        <v>87</v>
      </c>
      <c r="C112" t="s">
        <v>46</v>
      </c>
      <c r="D112" t="s">
        <v>35</v>
      </c>
      <c r="F112" t="s">
        <v>37</v>
      </c>
      <c r="G112" t="s">
        <v>37</v>
      </c>
      <c r="H112" t="s">
        <v>38</v>
      </c>
      <c r="I112">
        <v>1</v>
      </c>
      <c r="J112">
        <v>1</v>
      </c>
      <c r="K112" t="s">
        <v>469</v>
      </c>
    </row>
    <row r="113" spans="1:11" x14ac:dyDescent="0.2">
      <c r="A113" t="s">
        <v>282</v>
      </c>
      <c r="B113" t="s">
        <v>87</v>
      </c>
      <c r="C113" t="s">
        <v>46</v>
      </c>
      <c r="D113" t="s">
        <v>35</v>
      </c>
      <c r="F113" t="s">
        <v>37</v>
      </c>
      <c r="G113" t="s">
        <v>37</v>
      </c>
      <c r="H113" t="s">
        <v>38</v>
      </c>
      <c r="I113">
        <v>1</v>
      </c>
      <c r="J113">
        <v>1</v>
      </c>
      <c r="K113" t="s">
        <v>469</v>
      </c>
    </row>
    <row r="114" spans="1:11" x14ac:dyDescent="0.2">
      <c r="A114" t="s">
        <v>279</v>
      </c>
      <c r="B114" t="s">
        <v>87</v>
      </c>
      <c r="C114" t="s">
        <v>46</v>
      </c>
      <c r="D114" t="s">
        <v>35</v>
      </c>
      <c r="F114" t="s">
        <v>37</v>
      </c>
      <c r="G114" t="s">
        <v>37</v>
      </c>
      <c r="H114" t="s">
        <v>38</v>
      </c>
      <c r="I114">
        <v>1</v>
      </c>
      <c r="J114">
        <v>1</v>
      </c>
      <c r="K114" t="s">
        <v>469</v>
      </c>
    </row>
    <row r="115" spans="1:11" x14ac:dyDescent="0.2">
      <c r="A115" t="s">
        <v>280</v>
      </c>
      <c r="B115" t="s">
        <v>87</v>
      </c>
      <c r="C115" t="s">
        <v>46</v>
      </c>
      <c r="D115" t="s">
        <v>35</v>
      </c>
      <c r="F115" t="s">
        <v>50</v>
      </c>
      <c r="G115" t="s">
        <v>51</v>
      </c>
      <c r="H115" t="s">
        <v>38</v>
      </c>
      <c r="I115">
        <v>1</v>
      </c>
      <c r="J115">
        <v>4</v>
      </c>
      <c r="K115" t="s">
        <v>336</v>
      </c>
    </row>
    <row r="116" spans="1:11" x14ac:dyDescent="0.2">
      <c r="A116" t="s">
        <v>281</v>
      </c>
      <c r="B116" t="s">
        <v>87</v>
      </c>
      <c r="C116" t="s">
        <v>46</v>
      </c>
      <c r="D116" t="s">
        <v>35</v>
      </c>
      <c r="F116" t="s">
        <v>50</v>
      </c>
      <c r="G116" t="s">
        <v>51</v>
      </c>
      <c r="H116" t="s">
        <v>38</v>
      </c>
      <c r="I116">
        <v>1</v>
      </c>
      <c r="J116">
        <v>4</v>
      </c>
      <c r="K116" t="s">
        <v>336</v>
      </c>
    </row>
    <row r="117" spans="1:11" x14ac:dyDescent="0.2">
      <c r="A117" t="s">
        <v>285</v>
      </c>
      <c r="B117" t="s">
        <v>60</v>
      </c>
      <c r="C117" t="s">
        <v>68</v>
      </c>
      <c r="D117" t="s">
        <v>109</v>
      </c>
      <c r="F117" t="s">
        <v>50</v>
      </c>
      <c r="G117" t="s">
        <v>51</v>
      </c>
      <c r="H117" t="s">
        <v>48</v>
      </c>
      <c r="I117">
        <v>1</v>
      </c>
      <c r="J117">
        <v>4</v>
      </c>
      <c r="K117" t="s">
        <v>336</v>
      </c>
    </row>
    <row r="118" spans="1:11" x14ac:dyDescent="0.2">
      <c r="A118" t="s">
        <v>287</v>
      </c>
      <c r="B118" t="s">
        <v>176</v>
      </c>
      <c r="C118" t="s">
        <v>176</v>
      </c>
      <c r="D118" t="s">
        <v>176</v>
      </c>
      <c r="E118" t="s">
        <v>36</v>
      </c>
      <c r="F118" t="s">
        <v>37</v>
      </c>
      <c r="G118" t="s">
        <v>37</v>
      </c>
      <c r="I118">
        <v>1</v>
      </c>
      <c r="J118">
        <v>1</v>
      </c>
      <c r="K118" t="s">
        <v>469</v>
      </c>
    </row>
    <row r="119" spans="1:11" x14ac:dyDescent="0.2">
      <c r="A119" t="s">
        <v>289</v>
      </c>
      <c r="B119" t="s">
        <v>60</v>
      </c>
      <c r="C119" t="s">
        <v>61</v>
      </c>
      <c r="D119" t="s">
        <v>109</v>
      </c>
      <c r="F119" t="s">
        <v>37</v>
      </c>
      <c r="H119" t="s">
        <v>48</v>
      </c>
      <c r="I119">
        <v>1</v>
      </c>
      <c r="J119">
        <v>4</v>
      </c>
      <c r="K119" t="s">
        <v>471</v>
      </c>
    </row>
    <row r="120" spans="1:11" x14ac:dyDescent="0.2">
      <c r="A120" t="s">
        <v>292</v>
      </c>
      <c r="B120" t="s">
        <v>45</v>
      </c>
      <c r="C120" t="s">
        <v>187</v>
      </c>
      <c r="D120" t="s">
        <v>35</v>
      </c>
      <c r="E120" t="s">
        <v>36</v>
      </c>
      <c r="F120" t="s">
        <v>37</v>
      </c>
      <c r="G120" t="s">
        <v>37</v>
      </c>
      <c r="H120" t="s">
        <v>98</v>
      </c>
      <c r="I120">
        <v>2</v>
      </c>
      <c r="J120">
        <v>7</v>
      </c>
      <c r="K120" t="s">
        <v>334</v>
      </c>
    </row>
    <row r="121" spans="1:11" x14ac:dyDescent="0.2">
      <c r="A121" t="s">
        <v>291</v>
      </c>
      <c r="B121" t="s">
        <v>45</v>
      </c>
      <c r="C121" t="s">
        <v>187</v>
      </c>
      <c r="D121" t="s">
        <v>35</v>
      </c>
      <c r="E121" t="s">
        <v>36</v>
      </c>
      <c r="F121" t="s">
        <v>37</v>
      </c>
      <c r="G121" t="s">
        <v>37</v>
      </c>
      <c r="H121" t="s">
        <v>98</v>
      </c>
      <c r="I121">
        <v>2</v>
      </c>
      <c r="J121">
        <v>7</v>
      </c>
      <c r="K121" t="s">
        <v>334</v>
      </c>
    </row>
    <row r="122" spans="1:11" x14ac:dyDescent="0.2">
      <c r="A122" t="s">
        <v>294</v>
      </c>
      <c r="B122" t="s">
        <v>45</v>
      </c>
      <c r="C122" t="s">
        <v>34</v>
      </c>
      <c r="D122" t="s">
        <v>35</v>
      </c>
      <c r="E122" t="s">
        <v>36</v>
      </c>
      <c r="F122" t="s">
        <v>37</v>
      </c>
      <c r="G122" t="s">
        <v>37</v>
      </c>
      <c r="H122" t="s">
        <v>38</v>
      </c>
      <c r="I122">
        <v>1</v>
      </c>
      <c r="J122">
        <v>1</v>
      </c>
      <c r="K122" t="s">
        <v>469</v>
      </c>
    </row>
    <row r="123" spans="1:11" x14ac:dyDescent="0.2">
      <c r="A123" t="s">
        <v>296</v>
      </c>
      <c r="B123" t="s">
        <v>45</v>
      </c>
      <c r="C123" t="s">
        <v>34</v>
      </c>
      <c r="D123" t="s">
        <v>232</v>
      </c>
      <c r="F123" t="s">
        <v>50</v>
      </c>
      <c r="G123" t="s">
        <v>51</v>
      </c>
      <c r="H123" t="s">
        <v>77</v>
      </c>
      <c r="I123">
        <v>2</v>
      </c>
      <c r="J123">
        <v>4</v>
      </c>
      <c r="K123" t="s">
        <v>470</v>
      </c>
    </row>
    <row r="124" spans="1:11" x14ac:dyDescent="0.2">
      <c r="A124" t="s">
        <v>299</v>
      </c>
      <c r="B124" t="s">
        <v>60</v>
      </c>
      <c r="C124" t="s">
        <v>68</v>
      </c>
      <c r="D124" t="s">
        <v>298</v>
      </c>
      <c r="E124" t="s">
        <v>36</v>
      </c>
      <c r="F124" t="s">
        <v>50</v>
      </c>
      <c r="G124" t="s">
        <v>51</v>
      </c>
      <c r="H124" t="s">
        <v>71</v>
      </c>
      <c r="I124">
        <v>1</v>
      </c>
      <c r="J124">
        <v>4</v>
      </c>
      <c r="K124" t="s">
        <v>469</v>
      </c>
    </row>
    <row r="125" spans="1:11" x14ac:dyDescent="0.2">
      <c r="A125" t="s">
        <v>301</v>
      </c>
      <c r="B125" t="s">
        <v>87</v>
      </c>
      <c r="C125" t="s">
        <v>46</v>
      </c>
      <c r="D125" t="s">
        <v>47</v>
      </c>
      <c r="E125" t="s">
        <v>36</v>
      </c>
      <c r="F125" t="s">
        <v>37</v>
      </c>
      <c r="G125" t="s">
        <v>37</v>
      </c>
      <c r="H125" t="s">
        <v>38</v>
      </c>
      <c r="I125">
        <v>1</v>
      </c>
      <c r="J125">
        <v>2</v>
      </c>
      <c r="K125" t="s">
        <v>469</v>
      </c>
    </row>
    <row r="126" spans="1:11" x14ac:dyDescent="0.2">
      <c r="A126" t="s">
        <v>303</v>
      </c>
      <c r="B126" t="s">
        <v>60</v>
      </c>
      <c r="C126" t="s">
        <v>117</v>
      </c>
      <c r="D126" t="s">
        <v>47</v>
      </c>
      <c r="F126" t="s">
        <v>50</v>
      </c>
      <c r="G126" t="s">
        <v>51</v>
      </c>
      <c r="H126" t="s">
        <v>250</v>
      </c>
      <c r="I126">
        <v>1</v>
      </c>
      <c r="J126">
        <v>4</v>
      </c>
      <c r="K126" t="s">
        <v>336</v>
      </c>
    </row>
    <row r="127" spans="1:11" x14ac:dyDescent="0.2">
      <c r="A127" t="s">
        <v>305</v>
      </c>
      <c r="B127" t="s">
        <v>82</v>
      </c>
      <c r="C127" t="s">
        <v>34</v>
      </c>
      <c r="D127" t="s">
        <v>35</v>
      </c>
      <c r="E127" t="s">
        <v>36</v>
      </c>
      <c r="F127" t="s">
        <v>37</v>
      </c>
      <c r="G127" t="s">
        <v>37</v>
      </c>
      <c r="H127" t="s">
        <v>38</v>
      </c>
      <c r="I127">
        <v>1</v>
      </c>
      <c r="J127">
        <v>1</v>
      </c>
      <c r="K127" t="s">
        <v>467</v>
      </c>
    </row>
    <row r="128" spans="1:11" x14ac:dyDescent="0.2">
      <c r="A128" t="s">
        <v>308</v>
      </c>
      <c r="B128" t="s">
        <v>87</v>
      </c>
      <c r="C128" t="s">
        <v>34</v>
      </c>
      <c r="D128" t="s">
        <v>35</v>
      </c>
      <c r="F128" t="s">
        <v>50</v>
      </c>
      <c r="G128" t="s">
        <v>51</v>
      </c>
      <c r="H128" t="s">
        <v>307</v>
      </c>
      <c r="I128">
        <v>2</v>
      </c>
      <c r="J128">
        <v>5</v>
      </c>
      <c r="K128" t="s">
        <v>336</v>
      </c>
    </row>
    <row r="129" spans="1:11" x14ac:dyDescent="0.2">
      <c r="A129" t="s">
        <v>311</v>
      </c>
      <c r="B129" t="s">
        <v>45</v>
      </c>
      <c r="C129" t="s">
        <v>61</v>
      </c>
      <c r="D129" t="s">
        <v>69</v>
      </c>
      <c r="F129" t="s">
        <v>50</v>
      </c>
      <c r="G129" t="s">
        <v>51</v>
      </c>
      <c r="H129" t="s">
        <v>48</v>
      </c>
      <c r="I129">
        <v>1</v>
      </c>
      <c r="J129">
        <v>4</v>
      </c>
      <c r="K129" t="s">
        <v>336</v>
      </c>
    </row>
    <row r="130" spans="1:11" x14ac:dyDescent="0.2">
      <c r="A130" t="s">
        <v>310</v>
      </c>
      <c r="B130" t="s">
        <v>45</v>
      </c>
      <c r="C130" t="s">
        <v>61</v>
      </c>
      <c r="D130" t="s">
        <v>69</v>
      </c>
      <c r="F130" t="s">
        <v>50</v>
      </c>
      <c r="G130" t="s">
        <v>51</v>
      </c>
      <c r="H130" t="s">
        <v>48</v>
      </c>
      <c r="I130">
        <v>1</v>
      </c>
      <c r="J130">
        <v>4</v>
      </c>
      <c r="K130" t="s">
        <v>336</v>
      </c>
    </row>
    <row r="131" spans="1:11" x14ac:dyDescent="0.2">
      <c r="A131" t="s">
        <v>314</v>
      </c>
      <c r="B131" t="s">
        <v>45</v>
      </c>
      <c r="C131" t="s">
        <v>34</v>
      </c>
      <c r="D131" t="s">
        <v>35</v>
      </c>
      <c r="E131" t="s">
        <v>36</v>
      </c>
      <c r="F131" t="s">
        <v>37</v>
      </c>
      <c r="G131" t="s">
        <v>37</v>
      </c>
      <c r="H131" t="s">
        <v>98</v>
      </c>
      <c r="I131">
        <v>2</v>
      </c>
      <c r="J131">
        <v>7</v>
      </c>
      <c r="K131" t="s">
        <v>334</v>
      </c>
    </row>
    <row r="132" spans="1:11" x14ac:dyDescent="0.2">
      <c r="A132" t="s">
        <v>313</v>
      </c>
      <c r="B132" t="s">
        <v>45</v>
      </c>
      <c r="C132" t="s">
        <v>34</v>
      </c>
      <c r="D132" t="s">
        <v>35</v>
      </c>
      <c r="F132" t="s">
        <v>37</v>
      </c>
      <c r="G132" t="s">
        <v>37</v>
      </c>
      <c r="H132" t="s">
        <v>48</v>
      </c>
      <c r="I132">
        <v>2</v>
      </c>
      <c r="J132">
        <v>1</v>
      </c>
      <c r="K132" t="s">
        <v>467</v>
      </c>
    </row>
    <row r="133" spans="1:11" x14ac:dyDescent="0.2">
      <c r="A133" t="s">
        <v>316</v>
      </c>
      <c r="B133" t="s">
        <v>45</v>
      </c>
      <c r="C133" t="s">
        <v>34</v>
      </c>
      <c r="D133" t="s">
        <v>35</v>
      </c>
      <c r="E133" t="s">
        <v>36</v>
      </c>
      <c r="F133" t="s">
        <v>37</v>
      </c>
      <c r="G133" t="s">
        <v>37</v>
      </c>
      <c r="H133" t="s">
        <v>38</v>
      </c>
      <c r="I133">
        <v>1</v>
      </c>
      <c r="J133">
        <v>1</v>
      </c>
      <c r="K133" t="s">
        <v>469</v>
      </c>
    </row>
    <row r="134" spans="1:11" x14ac:dyDescent="0.2">
      <c r="A134" t="s">
        <v>318</v>
      </c>
      <c r="B134" t="s">
        <v>45</v>
      </c>
      <c r="C134" t="s">
        <v>34</v>
      </c>
      <c r="D134" t="s">
        <v>176</v>
      </c>
      <c r="F134" t="s">
        <v>37</v>
      </c>
      <c r="G134" t="s">
        <v>37</v>
      </c>
      <c r="H134" t="s">
        <v>38</v>
      </c>
      <c r="I134">
        <v>1</v>
      </c>
      <c r="J134">
        <v>1</v>
      </c>
      <c r="K134" t="s">
        <v>471</v>
      </c>
    </row>
    <row r="135" spans="1:11" x14ac:dyDescent="0.2">
      <c r="A135" t="s">
        <v>321</v>
      </c>
      <c r="B135" t="s">
        <v>320</v>
      </c>
      <c r="C135" t="s">
        <v>34</v>
      </c>
      <c r="D135" t="s">
        <v>35</v>
      </c>
      <c r="E135" t="s">
        <v>36</v>
      </c>
      <c r="F135" t="s">
        <v>37</v>
      </c>
      <c r="G135" t="s">
        <v>37</v>
      </c>
      <c r="I135">
        <v>1</v>
      </c>
      <c r="J135">
        <v>1</v>
      </c>
      <c r="K135" t="s">
        <v>469</v>
      </c>
    </row>
    <row r="136" spans="1:11" x14ac:dyDescent="0.2">
      <c r="A136" t="s">
        <v>323</v>
      </c>
      <c r="B136" t="s">
        <v>45</v>
      </c>
      <c r="C136" t="s">
        <v>34</v>
      </c>
      <c r="D136" t="s">
        <v>35</v>
      </c>
      <c r="F136" t="s">
        <v>37</v>
      </c>
      <c r="G136" t="s">
        <v>37</v>
      </c>
      <c r="H136" t="s">
        <v>38</v>
      </c>
      <c r="I136">
        <v>1</v>
      </c>
      <c r="J136">
        <v>1</v>
      </c>
      <c r="K136" t="s">
        <v>467</v>
      </c>
    </row>
    <row r="137" spans="1:11" x14ac:dyDescent="0.2">
      <c r="A137" t="s">
        <v>325</v>
      </c>
      <c r="B137" t="s">
        <v>45</v>
      </c>
      <c r="C137" t="s">
        <v>34</v>
      </c>
      <c r="D137" t="s">
        <v>47</v>
      </c>
      <c r="E137" t="s">
        <v>36</v>
      </c>
      <c r="F137" t="s">
        <v>50</v>
      </c>
      <c r="G137" t="s">
        <v>51</v>
      </c>
      <c r="H137" t="s">
        <v>98</v>
      </c>
      <c r="I137">
        <v>2</v>
      </c>
      <c r="J137">
        <v>6</v>
      </c>
      <c r="K137" t="s">
        <v>334</v>
      </c>
    </row>
    <row r="138" spans="1:11" x14ac:dyDescent="0.2">
      <c r="A138" t="s">
        <v>327</v>
      </c>
      <c r="B138" t="s">
        <v>60</v>
      </c>
      <c r="C138" t="s">
        <v>61</v>
      </c>
      <c r="D138" t="s">
        <v>47</v>
      </c>
      <c r="E138" t="s">
        <v>36</v>
      </c>
      <c r="F138" t="s">
        <v>37</v>
      </c>
      <c r="G138" t="s">
        <v>37</v>
      </c>
      <c r="H138" t="s">
        <v>38</v>
      </c>
      <c r="I138">
        <v>1</v>
      </c>
      <c r="J138">
        <v>1</v>
      </c>
      <c r="K138" t="s">
        <v>467</v>
      </c>
    </row>
  </sheetData>
  <autoFilter ref="A1:K138" xr:uid="{C2756532-4CD5-8E4D-9E89-12AF14D3D14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FBA4-6D97-6B4A-9380-D6AD013DDDF7}">
  <dimension ref="A1:N46"/>
  <sheetViews>
    <sheetView workbookViewId="0">
      <selection activeCell="Q35" sqref="Q35"/>
    </sheetView>
  </sheetViews>
  <sheetFormatPr baseColWidth="10" defaultRowHeight="16" x14ac:dyDescent="0.2"/>
  <sheetData>
    <row r="1" spans="1:14" x14ac:dyDescent="0.2">
      <c r="A1" t="s">
        <v>1</v>
      </c>
      <c r="B1" t="s">
        <v>5</v>
      </c>
      <c r="C1" t="s">
        <v>26</v>
      </c>
      <c r="D1" t="s">
        <v>10</v>
      </c>
      <c r="E1" t="s">
        <v>11</v>
      </c>
      <c r="F1" t="s">
        <v>340</v>
      </c>
      <c r="G1" t="s">
        <v>339</v>
      </c>
      <c r="H1" t="s">
        <v>342</v>
      </c>
      <c r="I1" t="s">
        <v>344</v>
      </c>
      <c r="J1" t="s">
        <v>473</v>
      </c>
      <c r="K1" t="s">
        <v>343</v>
      </c>
      <c r="L1" t="s">
        <v>345</v>
      </c>
      <c r="M1" t="s">
        <v>347</v>
      </c>
      <c r="N1" t="s">
        <v>346</v>
      </c>
    </row>
    <row r="2" spans="1:14" x14ac:dyDescent="0.2">
      <c r="A2" t="s">
        <v>42</v>
      </c>
      <c r="B2">
        <v>3</v>
      </c>
      <c r="C2">
        <v>0.66666666666666663</v>
      </c>
      <c r="D2">
        <v>706.85834705770344</v>
      </c>
      <c r="E2">
        <v>1</v>
      </c>
      <c r="F2">
        <v>7</v>
      </c>
      <c r="G2">
        <v>1</v>
      </c>
      <c r="H2" t="s">
        <v>33</v>
      </c>
      <c r="I2" t="s">
        <v>350</v>
      </c>
      <c r="J2" t="s">
        <v>474</v>
      </c>
      <c r="K2" t="s">
        <v>35</v>
      </c>
      <c r="L2" t="s">
        <v>93</v>
      </c>
      <c r="M2">
        <v>1</v>
      </c>
      <c r="N2" t="s">
        <v>467</v>
      </c>
    </row>
    <row r="3" spans="1:14" x14ac:dyDescent="0.2">
      <c r="A3" t="s">
        <v>39</v>
      </c>
      <c r="B3">
        <v>4.7506849315068491</v>
      </c>
      <c r="C3">
        <v>0.31574394463667821</v>
      </c>
      <c r="D3">
        <v>706.85834705770344</v>
      </c>
      <c r="E3">
        <v>1</v>
      </c>
      <c r="F3">
        <v>7</v>
      </c>
      <c r="G3">
        <v>1</v>
      </c>
      <c r="H3" t="s">
        <v>33</v>
      </c>
      <c r="I3" t="s">
        <v>350</v>
      </c>
      <c r="J3" t="s">
        <v>474</v>
      </c>
      <c r="K3" t="s">
        <v>35</v>
      </c>
      <c r="L3" t="s">
        <v>93</v>
      </c>
      <c r="M3">
        <v>1</v>
      </c>
      <c r="N3" t="s">
        <v>467</v>
      </c>
    </row>
    <row r="4" spans="1:14" x14ac:dyDescent="0.2">
      <c r="A4" t="s">
        <v>49</v>
      </c>
      <c r="B4">
        <v>17</v>
      </c>
      <c r="C4">
        <v>1</v>
      </c>
      <c r="D4">
        <v>31</v>
      </c>
      <c r="E4">
        <v>1.6</v>
      </c>
      <c r="F4">
        <v>6</v>
      </c>
      <c r="G4">
        <v>1</v>
      </c>
      <c r="H4" t="s">
        <v>45</v>
      </c>
      <c r="I4" t="s">
        <v>350</v>
      </c>
      <c r="J4" t="s">
        <v>475</v>
      </c>
      <c r="K4" t="s">
        <v>47</v>
      </c>
      <c r="L4" t="s">
        <v>48</v>
      </c>
      <c r="M4">
        <v>1</v>
      </c>
      <c r="N4" t="s">
        <v>336</v>
      </c>
    </row>
    <row r="5" spans="1:14" x14ac:dyDescent="0.2">
      <c r="A5" t="s">
        <v>57</v>
      </c>
      <c r="B5">
        <v>7</v>
      </c>
      <c r="C5">
        <v>3.7142857142857144E-2</v>
      </c>
      <c r="D5">
        <v>1257</v>
      </c>
      <c r="E5">
        <v>1</v>
      </c>
      <c r="F5">
        <v>4.5999999999999996</v>
      </c>
      <c r="G5">
        <v>1</v>
      </c>
      <c r="H5" t="s">
        <v>33</v>
      </c>
      <c r="I5" t="s">
        <v>350</v>
      </c>
      <c r="J5" t="s">
        <v>474</v>
      </c>
      <c r="K5" t="s">
        <v>56</v>
      </c>
      <c r="L5" t="s">
        <v>48</v>
      </c>
      <c r="M5">
        <v>1</v>
      </c>
      <c r="N5" t="s">
        <v>471</v>
      </c>
    </row>
    <row r="6" spans="1:14" x14ac:dyDescent="0.2">
      <c r="A6" t="s">
        <v>91</v>
      </c>
      <c r="B6">
        <v>1</v>
      </c>
      <c r="C6">
        <v>3</v>
      </c>
      <c r="D6">
        <v>254.46900494077323</v>
      </c>
      <c r="E6">
        <v>1</v>
      </c>
      <c r="F6">
        <v>5.7</v>
      </c>
      <c r="G6">
        <v>1</v>
      </c>
      <c r="H6" t="s">
        <v>45</v>
      </c>
      <c r="I6" t="s">
        <v>350</v>
      </c>
      <c r="J6" t="s">
        <v>475</v>
      </c>
      <c r="K6" t="s">
        <v>47</v>
      </c>
      <c r="L6" t="s">
        <v>93</v>
      </c>
      <c r="M6">
        <v>2</v>
      </c>
      <c r="N6" t="s">
        <v>469</v>
      </c>
    </row>
    <row r="7" spans="1:14" x14ac:dyDescent="0.2">
      <c r="A7" t="s">
        <v>92</v>
      </c>
      <c r="B7">
        <v>1</v>
      </c>
      <c r="C7">
        <v>3</v>
      </c>
      <c r="D7">
        <v>254.46900494077323</v>
      </c>
      <c r="E7">
        <v>1</v>
      </c>
      <c r="F7">
        <v>5.7</v>
      </c>
      <c r="G7">
        <v>1</v>
      </c>
      <c r="H7" t="s">
        <v>45</v>
      </c>
      <c r="I7" t="s">
        <v>350</v>
      </c>
      <c r="J7" t="s">
        <v>475</v>
      </c>
      <c r="K7" t="s">
        <v>47</v>
      </c>
      <c r="L7" t="s">
        <v>93</v>
      </c>
      <c r="M7">
        <v>2</v>
      </c>
      <c r="N7" t="s">
        <v>469</v>
      </c>
    </row>
    <row r="8" spans="1:14" x14ac:dyDescent="0.2">
      <c r="A8" t="s">
        <v>101</v>
      </c>
      <c r="B8">
        <v>5.2547945205479456</v>
      </c>
      <c r="C8">
        <v>2.4739311783107407</v>
      </c>
      <c r="D8">
        <v>95.033177771091246</v>
      </c>
      <c r="E8">
        <v>1</v>
      </c>
      <c r="F8">
        <v>5</v>
      </c>
      <c r="G8">
        <v>1</v>
      </c>
      <c r="H8" t="s">
        <v>60</v>
      </c>
      <c r="I8" t="s">
        <v>349</v>
      </c>
      <c r="J8" t="s">
        <v>476</v>
      </c>
      <c r="K8" t="s">
        <v>47</v>
      </c>
      <c r="L8" t="s">
        <v>93</v>
      </c>
      <c r="M8">
        <v>2</v>
      </c>
      <c r="N8" t="s">
        <v>467</v>
      </c>
    </row>
    <row r="9" spans="1:14" x14ac:dyDescent="0.2">
      <c r="A9" t="s">
        <v>107</v>
      </c>
      <c r="B9">
        <v>2.5890410958904111</v>
      </c>
      <c r="C9">
        <v>2.0470899470899471</v>
      </c>
      <c r="D9">
        <v>50</v>
      </c>
      <c r="E9">
        <v>1</v>
      </c>
      <c r="F9">
        <v>1.9</v>
      </c>
      <c r="G9">
        <v>1</v>
      </c>
      <c r="H9" t="s">
        <v>106</v>
      </c>
      <c r="I9" t="s">
        <v>349</v>
      </c>
      <c r="J9" t="s">
        <v>474</v>
      </c>
      <c r="K9" t="s">
        <v>69</v>
      </c>
      <c r="L9" t="s">
        <v>93</v>
      </c>
      <c r="M9">
        <v>1</v>
      </c>
      <c r="N9" t="s">
        <v>469</v>
      </c>
    </row>
    <row r="10" spans="1:14" x14ac:dyDescent="0.2">
      <c r="A10" t="s">
        <v>119</v>
      </c>
      <c r="B10">
        <v>2.0027397260273974</v>
      </c>
      <c r="C10">
        <v>0.99863201094391241</v>
      </c>
      <c r="D10">
        <v>113</v>
      </c>
      <c r="E10">
        <v>1</v>
      </c>
      <c r="F10">
        <v>9</v>
      </c>
      <c r="G10">
        <v>1</v>
      </c>
      <c r="H10" t="s">
        <v>45</v>
      </c>
      <c r="I10" t="s">
        <v>348</v>
      </c>
      <c r="J10" t="s">
        <v>474</v>
      </c>
      <c r="K10" t="s">
        <v>109</v>
      </c>
      <c r="L10" t="s">
        <v>93</v>
      </c>
      <c r="M10">
        <v>1</v>
      </c>
      <c r="N10" t="s">
        <v>467</v>
      </c>
    </row>
    <row r="11" spans="1:14" x14ac:dyDescent="0.2">
      <c r="A11" t="s">
        <v>131</v>
      </c>
      <c r="B11">
        <v>7</v>
      </c>
      <c r="C11">
        <v>0.5</v>
      </c>
      <c r="D11">
        <v>314</v>
      </c>
      <c r="E11">
        <v>1</v>
      </c>
      <c r="F11">
        <v>13</v>
      </c>
      <c r="G11">
        <v>1</v>
      </c>
      <c r="H11" t="s">
        <v>45</v>
      </c>
      <c r="I11" t="s">
        <v>350</v>
      </c>
      <c r="J11" t="s">
        <v>474</v>
      </c>
      <c r="K11" t="s">
        <v>35</v>
      </c>
      <c r="L11" t="s">
        <v>48</v>
      </c>
      <c r="M11">
        <v>1</v>
      </c>
      <c r="N11" t="s">
        <v>336</v>
      </c>
    </row>
    <row r="12" spans="1:14" x14ac:dyDescent="0.2">
      <c r="A12" t="s">
        <v>133</v>
      </c>
      <c r="B12">
        <v>13</v>
      </c>
      <c r="C12">
        <v>3.5</v>
      </c>
      <c r="D12">
        <v>1308</v>
      </c>
      <c r="E12">
        <v>1.2162162162162162</v>
      </c>
      <c r="F12">
        <v>10.5</v>
      </c>
      <c r="G12">
        <v>1</v>
      </c>
      <c r="H12" t="s">
        <v>82</v>
      </c>
      <c r="I12" t="s">
        <v>350</v>
      </c>
      <c r="J12" t="s">
        <v>474</v>
      </c>
      <c r="K12" t="s">
        <v>35</v>
      </c>
      <c r="L12" t="s">
        <v>93</v>
      </c>
      <c r="M12">
        <v>1</v>
      </c>
      <c r="N12" t="s">
        <v>467</v>
      </c>
    </row>
    <row r="13" spans="1:14" x14ac:dyDescent="0.2">
      <c r="A13" t="s">
        <v>148</v>
      </c>
      <c r="B13">
        <v>6</v>
      </c>
      <c r="C13">
        <v>3.3333333333333335</v>
      </c>
      <c r="D13">
        <v>95</v>
      </c>
      <c r="E13">
        <v>1</v>
      </c>
      <c r="F13">
        <v>2.5</v>
      </c>
      <c r="G13">
        <v>1</v>
      </c>
      <c r="H13" t="s">
        <v>60</v>
      </c>
      <c r="I13" t="s">
        <v>349</v>
      </c>
      <c r="J13" t="s">
        <v>476</v>
      </c>
      <c r="K13" t="s">
        <v>47</v>
      </c>
      <c r="L13" t="s">
        <v>93</v>
      </c>
      <c r="M13">
        <v>1</v>
      </c>
      <c r="N13" t="s">
        <v>467</v>
      </c>
    </row>
    <row r="14" spans="1:14" x14ac:dyDescent="0.2">
      <c r="A14" t="s">
        <v>152</v>
      </c>
      <c r="B14">
        <v>7</v>
      </c>
      <c r="C14">
        <v>1</v>
      </c>
      <c r="D14">
        <v>254</v>
      </c>
      <c r="E14">
        <v>1</v>
      </c>
      <c r="F14">
        <v>4.5</v>
      </c>
      <c r="G14">
        <v>1</v>
      </c>
      <c r="H14" t="s">
        <v>45</v>
      </c>
      <c r="I14" t="s">
        <v>350</v>
      </c>
      <c r="J14" t="s">
        <v>474</v>
      </c>
      <c r="K14" t="s">
        <v>124</v>
      </c>
      <c r="L14" t="s">
        <v>93</v>
      </c>
      <c r="M14">
        <v>2</v>
      </c>
      <c r="N14" t="s">
        <v>467</v>
      </c>
    </row>
    <row r="15" spans="1:14" x14ac:dyDescent="0.2">
      <c r="A15" t="s">
        <v>155</v>
      </c>
      <c r="B15">
        <v>1.8410958904109589</v>
      </c>
      <c r="C15">
        <v>8.1473214285714288</v>
      </c>
      <c r="D15">
        <v>380</v>
      </c>
      <c r="E15">
        <v>1.24</v>
      </c>
      <c r="F15">
        <v>5.25</v>
      </c>
      <c r="G15">
        <v>1</v>
      </c>
      <c r="H15" t="s">
        <v>45</v>
      </c>
      <c r="I15" t="s">
        <v>349</v>
      </c>
      <c r="J15" t="s">
        <v>476</v>
      </c>
      <c r="K15" t="s">
        <v>47</v>
      </c>
      <c r="L15" t="s">
        <v>93</v>
      </c>
      <c r="M15">
        <v>2</v>
      </c>
      <c r="N15" t="s">
        <v>469</v>
      </c>
    </row>
    <row r="16" spans="1:14" x14ac:dyDescent="0.2">
      <c r="A16" t="s">
        <v>166</v>
      </c>
      <c r="B16">
        <v>5</v>
      </c>
      <c r="C16">
        <v>1.2</v>
      </c>
      <c r="D16">
        <v>177</v>
      </c>
      <c r="E16">
        <v>1</v>
      </c>
      <c r="F16">
        <v>7</v>
      </c>
      <c r="G16">
        <v>1</v>
      </c>
      <c r="H16" t="s">
        <v>45</v>
      </c>
      <c r="I16" t="s">
        <v>350</v>
      </c>
      <c r="J16" t="s">
        <v>474</v>
      </c>
      <c r="K16" t="s">
        <v>35</v>
      </c>
      <c r="L16" t="s">
        <v>48</v>
      </c>
      <c r="M16">
        <v>1</v>
      </c>
      <c r="N16" t="s">
        <v>467</v>
      </c>
    </row>
    <row r="17" spans="1:14" x14ac:dyDescent="0.2">
      <c r="A17" t="s">
        <v>173</v>
      </c>
      <c r="B17">
        <v>8</v>
      </c>
      <c r="C17">
        <v>0.5</v>
      </c>
      <c r="D17">
        <v>1257</v>
      </c>
      <c r="E17">
        <v>1</v>
      </c>
      <c r="F17">
        <v>17</v>
      </c>
      <c r="G17">
        <v>1</v>
      </c>
      <c r="H17" t="s">
        <v>45</v>
      </c>
      <c r="I17" t="s">
        <v>349</v>
      </c>
      <c r="J17" t="s">
        <v>476</v>
      </c>
      <c r="K17" t="s">
        <v>35</v>
      </c>
      <c r="L17" t="s">
        <v>93</v>
      </c>
      <c r="M17">
        <v>2</v>
      </c>
      <c r="N17" t="s">
        <v>468</v>
      </c>
    </row>
    <row r="18" spans="1:14" x14ac:dyDescent="0.2">
      <c r="A18" t="s">
        <v>172</v>
      </c>
      <c r="B18">
        <v>9</v>
      </c>
      <c r="C18">
        <v>0.5</v>
      </c>
      <c r="D18">
        <v>1257</v>
      </c>
      <c r="E18">
        <v>1</v>
      </c>
      <c r="F18">
        <v>17</v>
      </c>
      <c r="G18">
        <v>1</v>
      </c>
      <c r="H18" t="s">
        <v>45</v>
      </c>
      <c r="I18" t="s">
        <v>349</v>
      </c>
      <c r="J18" t="s">
        <v>476</v>
      </c>
      <c r="K18" t="s">
        <v>35</v>
      </c>
      <c r="L18" t="s">
        <v>93</v>
      </c>
      <c r="M18">
        <v>2</v>
      </c>
      <c r="N18" t="s">
        <v>468</v>
      </c>
    </row>
    <row r="19" spans="1:14" x14ac:dyDescent="0.2">
      <c r="A19" t="s">
        <v>183</v>
      </c>
      <c r="B19">
        <v>5</v>
      </c>
      <c r="C19">
        <v>2</v>
      </c>
      <c r="D19">
        <v>79</v>
      </c>
      <c r="E19">
        <v>1</v>
      </c>
      <c r="F19">
        <v>7</v>
      </c>
      <c r="G19">
        <v>1</v>
      </c>
      <c r="H19" t="s">
        <v>45</v>
      </c>
      <c r="I19" t="s">
        <v>349</v>
      </c>
      <c r="J19" t="s">
        <v>476</v>
      </c>
      <c r="K19" t="s">
        <v>47</v>
      </c>
      <c r="L19" t="s">
        <v>93</v>
      </c>
      <c r="M19">
        <v>1</v>
      </c>
      <c r="N19" t="s">
        <v>467</v>
      </c>
    </row>
    <row r="20" spans="1:14" x14ac:dyDescent="0.2">
      <c r="A20" t="s">
        <v>186</v>
      </c>
      <c r="B20">
        <v>5</v>
      </c>
      <c r="C20">
        <v>5</v>
      </c>
      <c r="D20">
        <v>707</v>
      </c>
      <c r="E20">
        <v>1</v>
      </c>
      <c r="F20">
        <v>6</v>
      </c>
      <c r="G20">
        <v>1</v>
      </c>
      <c r="H20" t="s">
        <v>45</v>
      </c>
      <c r="I20" t="s">
        <v>350</v>
      </c>
      <c r="J20" t="s">
        <v>474</v>
      </c>
      <c r="K20" t="s">
        <v>47</v>
      </c>
      <c r="L20" t="s">
        <v>93</v>
      </c>
      <c r="M20">
        <v>2</v>
      </c>
      <c r="N20" t="s">
        <v>468</v>
      </c>
    </row>
    <row r="21" spans="1:14" x14ac:dyDescent="0.2">
      <c r="A21" t="s">
        <v>185</v>
      </c>
      <c r="B21">
        <v>7</v>
      </c>
      <c r="C21">
        <v>3</v>
      </c>
      <c r="D21">
        <v>755</v>
      </c>
      <c r="E21">
        <v>1</v>
      </c>
      <c r="F21">
        <v>6</v>
      </c>
      <c r="G21">
        <v>1</v>
      </c>
      <c r="H21" t="s">
        <v>45</v>
      </c>
      <c r="I21" t="s">
        <v>350</v>
      </c>
      <c r="J21" t="s">
        <v>474</v>
      </c>
      <c r="K21" t="s">
        <v>47</v>
      </c>
      <c r="L21" t="s">
        <v>93</v>
      </c>
      <c r="M21">
        <v>2</v>
      </c>
      <c r="N21" t="s">
        <v>468</v>
      </c>
    </row>
    <row r="22" spans="1:14" x14ac:dyDescent="0.2">
      <c r="A22" t="s">
        <v>190</v>
      </c>
      <c r="B22">
        <v>1</v>
      </c>
      <c r="C22">
        <v>1</v>
      </c>
      <c r="D22">
        <v>589</v>
      </c>
      <c r="E22">
        <v>1.2</v>
      </c>
      <c r="F22">
        <v>9</v>
      </c>
      <c r="G22">
        <v>1</v>
      </c>
      <c r="H22" t="s">
        <v>96</v>
      </c>
      <c r="I22" t="s">
        <v>349</v>
      </c>
      <c r="J22" t="s">
        <v>474</v>
      </c>
      <c r="K22" t="s">
        <v>69</v>
      </c>
      <c r="L22" t="s">
        <v>48</v>
      </c>
      <c r="M22">
        <v>1</v>
      </c>
      <c r="N22" t="s">
        <v>467</v>
      </c>
    </row>
    <row r="23" spans="1:14" x14ac:dyDescent="0.2">
      <c r="A23" t="s">
        <v>191</v>
      </c>
      <c r="B23">
        <v>3</v>
      </c>
      <c r="C23">
        <v>1</v>
      </c>
      <c r="D23">
        <v>589</v>
      </c>
      <c r="E23">
        <v>1.2</v>
      </c>
      <c r="F23">
        <v>7.2</v>
      </c>
      <c r="G23">
        <v>1</v>
      </c>
      <c r="H23" t="s">
        <v>96</v>
      </c>
      <c r="I23" t="s">
        <v>349</v>
      </c>
      <c r="J23" t="s">
        <v>474</v>
      </c>
      <c r="K23" t="s">
        <v>69</v>
      </c>
      <c r="L23" t="s">
        <v>48</v>
      </c>
      <c r="M23">
        <v>1</v>
      </c>
      <c r="N23" t="s">
        <v>467</v>
      </c>
    </row>
    <row r="24" spans="1:14" x14ac:dyDescent="0.2">
      <c r="A24" t="s">
        <v>189</v>
      </c>
      <c r="B24">
        <v>6</v>
      </c>
      <c r="C24">
        <v>1</v>
      </c>
      <c r="D24">
        <v>589</v>
      </c>
      <c r="E24">
        <v>1.2</v>
      </c>
      <c r="F24">
        <v>7.6499999999999995</v>
      </c>
      <c r="G24">
        <v>1</v>
      </c>
      <c r="H24" t="s">
        <v>96</v>
      </c>
      <c r="I24" t="s">
        <v>349</v>
      </c>
      <c r="J24" t="s">
        <v>474</v>
      </c>
      <c r="K24" t="s">
        <v>69</v>
      </c>
      <c r="L24" t="s">
        <v>93</v>
      </c>
      <c r="M24">
        <v>1</v>
      </c>
      <c r="N24" t="s">
        <v>467</v>
      </c>
    </row>
    <row r="25" spans="1:14" x14ac:dyDescent="0.2">
      <c r="A25" t="s">
        <v>200</v>
      </c>
      <c r="B25">
        <v>6</v>
      </c>
      <c r="C25">
        <v>1.3333333333333333</v>
      </c>
      <c r="D25">
        <v>707</v>
      </c>
      <c r="E25">
        <v>1</v>
      </c>
      <c r="F25">
        <v>21</v>
      </c>
      <c r="G25">
        <v>1</v>
      </c>
      <c r="H25" t="s">
        <v>33</v>
      </c>
      <c r="I25" t="s">
        <v>349</v>
      </c>
      <c r="J25" t="s">
        <v>476</v>
      </c>
      <c r="K25" t="s">
        <v>47</v>
      </c>
      <c r="L25" t="s">
        <v>93</v>
      </c>
      <c r="M25">
        <v>2</v>
      </c>
      <c r="N25" t="s">
        <v>468</v>
      </c>
    </row>
    <row r="26" spans="1:14" x14ac:dyDescent="0.2">
      <c r="A26" t="s">
        <v>217</v>
      </c>
      <c r="B26">
        <v>1.726027397260274</v>
      </c>
      <c r="C26">
        <v>5.3301587301587299</v>
      </c>
      <c r="D26">
        <v>79</v>
      </c>
      <c r="E26">
        <v>1</v>
      </c>
      <c r="F26">
        <v>3.7</v>
      </c>
      <c r="G26">
        <v>1</v>
      </c>
      <c r="H26" t="s">
        <v>45</v>
      </c>
      <c r="I26" t="s">
        <v>349</v>
      </c>
      <c r="J26" t="s">
        <v>474</v>
      </c>
      <c r="K26" t="s">
        <v>109</v>
      </c>
      <c r="L26" t="s">
        <v>93</v>
      </c>
      <c r="M26">
        <v>1</v>
      </c>
      <c r="N26" t="s">
        <v>469</v>
      </c>
    </row>
    <row r="27" spans="1:14" x14ac:dyDescent="0.2">
      <c r="A27" t="s">
        <v>219</v>
      </c>
      <c r="B27">
        <v>15</v>
      </c>
      <c r="C27">
        <v>1</v>
      </c>
      <c r="D27">
        <v>707</v>
      </c>
      <c r="E27">
        <v>1</v>
      </c>
      <c r="F27">
        <v>10</v>
      </c>
      <c r="G27">
        <v>1</v>
      </c>
      <c r="H27" t="s">
        <v>45</v>
      </c>
      <c r="I27" t="s">
        <v>350</v>
      </c>
      <c r="J27" t="s">
        <v>474</v>
      </c>
      <c r="K27" t="s">
        <v>35</v>
      </c>
      <c r="L27" t="s">
        <v>93</v>
      </c>
      <c r="M27">
        <v>1</v>
      </c>
      <c r="N27" t="s">
        <v>467</v>
      </c>
    </row>
    <row r="28" spans="1:14" x14ac:dyDescent="0.2">
      <c r="A28" t="s">
        <v>235</v>
      </c>
      <c r="B28">
        <v>5</v>
      </c>
      <c r="C28">
        <v>28</v>
      </c>
      <c r="D28">
        <v>113</v>
      </c>
      <c r="E28">
        <v>1</v>
      </c>
      <c r="F28">
        <v>6.75</v>
      </c>
      <c r="G28">
        <v>1</v>
      </c>
      <c r="H28" t="s">
        <v>33</v>
      </c>
      <c r="I28" t="s">
        <v>350</v>
      </c>
      <c r="J28" t="s">
        <v>474</v>
      </c>
      <c r="K28" t="s">
        <v>35</v>
      </c>
      <c r="L28" t="s">
        <v>93</v>
      </c>
      <c r="M28">
        <v>1</v>
      </c>
      <c r="N28" t="s">
        <v>467</v>
      </c>
    </row>
    <row r="29" spans="1:14" x14ac:dyDescent="0.2">
      <c r="A29" t="s">
        <v>237</v>
      </c>
      <c r="B29">
        <v>3</v>
      </c>
      <c r="C29">
        <v>1.6666666666666667</v>
      </c>
      <c r="D29">
        <v>707</v>
      </c>
      <c r="E29">
        <v>1</v>
      </c>
      <c r="F29">
        <v>4.7</v>
      </c>
      <c r="G29">
        <v>1</v>
      </c>
      <c r="H29" t="s">
        <v>60</v>
      </c>
      <c r="I29" t="s">
        <v>348</v>
      </c>
      <c r="J29" t="s">
        <v>476</v>
      </c>
      <c r="K29" t="s">
        <v>47</v>
      </c>
      <c r="L29" t="s">
        <v>93</v>
      </c>
      <c r="M29">
        <v>1</v>
      </c>
      <c r="N29" t="s">
        <v>467</v>
      </c>
    </row>
    <row r="30" spans="1:14" x14ac:dyDescent="0.2">
      <c r="A30" t="s">
        <v>253</v>
      </c>
      <c r="B30">
        <v>3</v>
      </c>
      <c r="C30">
        <v>4</v>
      </c>
      <c r="D30">
        <v>314</v>
      </c>
      <c r="E30">
        <v>1</v>
      </c>
      <c r="F30">
        <v>14</v>
      </c>
      <c r="G30">
        <v>1</v>
      </c>
      <c r="H30" t="s">
        <v>45</v>
      </c>
      <c r="I30" t="s">
        <v>350</v>
      </c>
      <c r="J30" t="s">
        <v>474</v>
      </c>
      <c r="K30" t="s">
        <v>35</v>
      </c>
      <c r="L30" t="s">
        <v>93</v>
      </c>
      <c r="M30">
        <v>1</v>
      </c>
      <c r="N30" t="s">
        <v>467</v>
      </c>
    </row>
    <row r="31" spans="1:14" x14ac:dyDescent="0.2">
      <c r="A31" t="s">
        <v>259</v>
      </c>
      <c r="B31">
        <v>3</v>
      </c>
      <c r="C31">
        <v>6.666666666666667</v>
      </c>
      <c r="D31">
        <v>78.539816339744831</v>
      </c>
      <c r="E31">
        <v>1</v>
      </c>
      <c r="F31">
        <v>3</v>
      </c>
      <c r="G31">
        <v>1</v>
      </c>
      <c r="H31" t="s">
        <v>60</v>
      </c>
      <c r="I31" t="s">
        <v>350</v>
      </c>
      <c r="J31" t="s">
        <v>475</v>
      </c>
      <c r="K31" t="s">
        <v>47</v>
      </c>
      <c r="L31" t="s">
        <v>93</v>
      </c>
      <c r="M31">
        <v>2</v>
      </c>
      <c r="N31" t="s">
        <v>467</v>
      </c>
    </row>
    <row r="32" spans="1:14" x14ac:dyDescent="0.2">
      <c r="A32" t="s">
        <v>260</v>
      </c>
      <c r="B32">
        <v>6</v>
      </c>
      <c r="C32">
        <v>13</v>
      </c>
      <c r="D32">
        <v>113</v>
      </c>
      <c r="E32">
        <v>1</v>
      </c>
      <c r="F32">
        <v>3.9</v>
      </c>
      <c r="G32">
        <v>1</v>
      </c>
      <c r="H32" t="s">
        <v>60</v>
      </c>
      <c r="I32" t="s">
        <v>350</v>
      </c>
      <c r="J32" t="s">
        <v>475</v>
      </c>
      <c r="K32" t="s">
        <v>47</v>
      </c>
      <c r="L32" t="s">
        <v>48</v>
      </c>
      <c r="M32">
        <v>2</v>
      </c>
      <c r="N32" t="s">
        <v>468</v>
      </c>
    </row>
    <row r="33" spans="1:14" x14ac:dyDescent="0.2">
      <c r="A33" t="s">
        <v>262</v>
      </c>
      <c r="B33">
        <v>7</v>
      </c>
      <c r="C33">
        <v>20</v>
      </c>
      <c r="D33">
        <v>113</v>
      </c>
      <c r="E33">
        <v>1</v>
      </c>
      <c r="F33">
        <v>3</v>
      </c>
      <c r="G33">
        <v>1</v>
      </c>
      <c r="H33" t="s">
        <v>60</v>
      </c>
      <c r="I33" t="s">
        <v>350</v>
      </c>
      <c r="J33" t="s">
        <v>475</v>
      </c>
      <c r="K33" t="s">
        <v>47</v>
      </c>
      <c r="L33" t="s">
        <v>93</v>
      </c>
      <c r="M33">
        <v>2</v>
      </c>
      <c r="N33" t="s">
        <v>468</v>
      </c>
    </row>
    <row r="34" spans="1:14" x14ac:dyDescent="0.2">
      <c r="A34" t="s">
        <v>274</v>
      </c>
      <c r="B34">
        <v>5</v>
      </c>
      <c r="C34">
        <v>2</v>
      </c>
      <c r="D34">
        <v>1963</v>
      </c>
      <c r="E34">
        <v>1</v>
      </c>
      <c r="F34">
        <v>12</v>
      </c>
      <c r="G34">
        <v>1</v>
      </c>
      <c r="H34" t="s">
        <v>45</v>
      </c>
      <c r="I34" t="s">
        <v>350</v>
      </c>
      <c r="J34" t="s">
        <v>474</v>
      </c>
      <c r="K34" t="s">
        <v>35</v>
      </c>
      <c r="L34" t="s">
        <v>93</v>
      </c>
      <c r="M34">
        <v>1</v>
      </c>
      <c r="N34" t="s">
        <v>469</v>
      </c>
    </row>
    <row r="35" spans="1:14" x14ac:dyDescent="0.2">
      <c r="A35" t="s">
        <v>283</v>
      </c>
      <c r="B35">
        <v>0.74794520547945209</v>
      </c>
      <c r="C35">
        <v>5</v>
      </c>
      <c r="D35">
        <v>177</v>
      </c>
      <c r="E35">
        <v>1</v>
      </c>
      <c r="F35">
        <v>5.5</v>
      </c>
      <c r="G35">
        <v>1</v>
      </c>
      <c r="H35" t="s">
        <v>45</v>
      </c>
      <c r="I35" t="s">
        <v>350</v>
      </c>
      <c r="J35" t="s">
        <v>475</v>
      </c>
      <c r="K35" t="s">
        <v>35</v>
      </c>
      <c r="L35" t="s">
        <v>93</v>
      </c>
      <c r="M35">
        <v>1</v>
      </c>
      <c r="N35" t="s">
        <v>469</v>
      </c>
    </row>
    <row r="36" spans="1:14" x14ac:dyDescent="0.2">
      <c r="A36" t="s">
        <v>282</v>
      </c>
      <c r="B36">
        <v>1.8356164383561644</v>
      </c>
      <c r="C36">
        <v>2</v>
      </c>
      <c r="D36">
        <v>113</v>
      </c>
      <c r="E36">
        <v>1</v>
      </c>
      <c r="F36">
        <v>5.5</v>
      </c>
      <c r="G36">
        <v>1</v>
      </c>
      <c r="H36" t="s">
        <v>45</v>
      </c>
      <c r="I36" t="s">
        <v>350</v>
      </c>
      <c r="J36" t="s">
        <v>475</v>
      </c>
      <c r="K36" t="s">
        <v>35</v>
      </c>
      <c r="L36" t="s">
        <v>93</v>
      </c>
      <c r="M36">
        <v>1</v>
      </c>
      <c r="N36" t="s">
        <v>469</v>
      </c>
    </row>
    <row r="37" spans="1:14" x14ac:dyDescent="0.2">
      <c r="A37" t="s">
        <v>279</v>
      </c>
      <c r="B37">
        <v>2</v>
      </c>
      <c r="C37">
        <v>0.8</v>
      </c>
      <c r="D37">
        <v>79</v>
      </c>
      <c r="E37">
        <v>1</v>
      </c>
      <c r="F37">
        <v>5.5</v>
      </c>
      <c r="G37">
        <v>1</v>
      </c>
      <c r="H37" t="s">
        <v>45</v>
      </c>
      <c r="I37" t="s">
        <v>350</v>
      </c>
      <c r="J37" t="s">
        <v>475</v>
      </c>
      <c r="K37" t="s">
        <v>35</v>
      </c>
      <c r="L37" t="s">
        <v>93</v>
      </c>
      <c r="M37">
        <v>1</v>
      </c>
      <c r="N37" t="s">
        <v>469</v>
      </c>
    </row>
    <row r="38" spans="1:14" x14ac:dyDescent="0.2">
      <c r="A38" t="s">
        <v>287</v>
      </c>
      <c r="B38">
        <v>2</v>
      </c>
      <c r="C38">
        <v>3</v>
      </c>
      <c r="D38">
        <v>707</v>
      </c>
      <c r="E38">
        <v>1</v>
      </c>
      <c r="F38">
        <v>16</v>
      </c>
      <c r="G38">
        <v>1</v>
      </c>
      <c r="H38" t="s">
        <v>176</v>
      </c>
      <c r="I38" t="s">
        <v>176</v>
      </c>
      <c r="K38" t="s">
        <v>176</v>
      </c>
      <c r="L38" t="s">
        <v>48</v>
      </c>
      <c r="M38">
        <v>1</v>
      </c>
      <c r="N38" t="s">
        <v>469</v>
      </c>
    </row>
    <row r="39" spans="1:14" x14ac:dyDescent="0.2">
      <c r="A39" t="s">
        <v>294</v>
      </c>
      <c r="B39">
        <v>1</v>
      </c>
      <c r="C39">
        <v>5</v>
      </c>
      <c r="D39">
        <v>962</v>
      </c>
      <c r="E39">
        <v>1</v>
      </c>
      <c r="F39">
        <v>12</v>
      </c>
      <c r="G39">
        <v>1</v>
      </c>
      <c r="H39" t="s">
        <v>45</v>
      </c>
      <c r="I39" t="s">
        <v>350</v>
      </c>
      <c r="J39" t="s">
        <v>474</v>
      </c>
      <c r="K39" t="s">
        <v>35</v>
      </c>
      <c r="L39" t="s">
        <v>93</v>
      </c>
      <c r="M39">
        <v>1</v>
      </c>
      <c r="N39" t="s">
        <v>469</v>
      </c>
    </row>
    <row r="40" spans="1:14" x14ac:dyDescent="0.2">
      <c r="A40" t="s">
        <v>305</v>
      </c>
      <c r="B40">
        <v>14</v>
      </c>
      <c r="C40">
        <v>1.7857142857142858</v>
      </c>
      <c r="D40">
        <v>157</v>
      </c>
      <c r="E40">
        <v>2</v>
      </c>
      <c r="F40">
        <v>6</v>
      </c>
      <c r="G40">
        <v>1</v>
      </c>
      <c r="H40" t="s">
        <v>82</v>
      </c>
      <c r="I40" t="s">
        <v>350</v>
      </c>
      <c r="J40" t="s">
        <v>474</v>
      </c>
      <c r="K40" t="s">
        <v>35</v>
      </c>
      <c r="L40" t="s">
        <v>93</v>
      </c>
      <c r="M40">
        <v>1</v>
      </c>
      <c r="N40" t="s">
        <v>467</v>
      </c>
    </row>
    <row r="41" spans="1:14" x14ac:dyDescent="0.2">
      <c r="A41" t="s">
        <v>313</v>
      </c>
      <c r="B41">
        <v>6</v>
      </c>
      <c r="C41">
        <v>0.8</v>
      </c>
      <c r="D41">
        <v>491</v>
      </c>
      <c r="E41">
        <v>1</v>
      </c>
      <c r="F41">
        <v>11.5</v>
      </c>
      <c r="G41">
        <v>1</v>
      </c>
      <c r="H41" t="s">
        <v>45</v>
      </c>
      <c r="I41" t="s">
        <v>350</v>
      </c>
      <c r="J41" t="s">
        <v>474</v>
      </c>
      <c r="K41" t="s">
        <v>35</v>
      </c>
      <c r="L41" t="s">
        <v>48</v>
      </c>
      <c r="M41">
        <v>2</v>
      </c>
      <c r="N41" t="s">
        <v>467</v>
      </c>
    </row>
    <row r="42" spans="1:14" x14ac:dyDescent="0.2">
      <c r="A42" t="s">
        <v>316</v>
      </c>
      <c r="B42">
        <v>2</v>
      </c>
      <c r="C42">
        <v>10</v>
      </c>
      <c r="D42">
        <v>707</v>
      </c>
      <c r="E42">
        <v>1</v>
      </c>
      <c r="F42">
        <v>7</v>
      </c>
      <c r="G42">
        <v>1</v>
      </c>
      <c r="H42" t="s">
        <v>45</v>
      </c>
      <c r="I42" t="s">
        <v>350</v>
      </c>
      <c r="J42" t="s">
        <v>474</v>
      </c>
      <c r="K42" t="s">
        <v>35</v>
      </c>
      <c r="L42" t="s">
        <v>93</v>
      </c>
      <c r="M42">
        <v>1</v>
      </c>
      <c r="N42" t="s">
        <v>469</v>
      </c>
    </row>
    <row r="43" spans="1:14" x14ac:dyDescent="0.2">
      <c r="A43" t="s">
        <v>318</v>
      </c>
      <c r="B43">
        <v>19</v>
      </c>
      <c r="C43">
        <v>1</v>
      </c>
      <c r="D43">
        <v>3848</v>
      </c>
      <c r="E43">
        <v>1</v>
      </c>
      <c r="F43">
        <v>16</v>
      </c>
      <c r="G43">
        <v>1</v>
      </c>
      <c r="H43" t="s">
        <v>45</v>
      </c>
      <c r="I43" t="s">
        <v>350</v>
      </c>
      <c r="J43" t="s">
        <v>474</v>
      </c>
      <c r="K43" t="s">
        <v>176</v>
      </c>
      <c r="L43" t="s">
        <v>93</v>
      </c>
      <c r="M43">
        <v>1</v>
      </c>
      <c r="N43" t="s">
        <v>471</v>
      </c>
    </row>
    <row r="44" spans="1:14" x14ac:dyDescent="0.2">
      <c r="A44" t="s">
        <v>321</v>
      </c>
      <c r="B44">
        <v>2.9589041095890409</v>
      </c>
      <c r="C44">
        <v>5.0694444444444446</v>
      </c>
      <c r="D44">
        <v>177</v>
      </c>
      <c r="E44">
        <v>1</v>
      </c>
      <c r="F44">
        <v>6</v>
      </c>
      <c r="G44">
        <v>1</v>
      </c>
      <c r="H44" t="s">
        <v>320</v>
      </c>
      <c r="I44" t="s">
        <v>350</v>
      </c>
      <c r="J44" t="s">
        <v>474</v>
      </c>
      <c r="K44" t="s">
        <v>35</v>
      </c>
      <c r="L44" t="s">
        <v>48</v>
      </c>
      <c r="M44">
        <v>1</v>
      </c>
      <c r="N44" t="s">
        <v>469</v>
      </c>
    </row>
    <row r="45" spans="1:14" x14ac:dyDescent="0.2">
      <c r="A45" t="s">
        <v>323</v>
      </c>
      <c r="B45">
        <v>18</v>
      </c>
      <c r="C45">
        <v>0.5</v>
      </c>
      <c r="D45">
        <v>962</v>
      </c>
      <c r="E45">
        <v>1</v>
      </c>
      <c r="F45">
        <v>8</v>
      </c>
      <c r="G45">
        <v>1</v>
      </c>
      <c r="H45" t="s">
        <v>45</v>
      </c>
      <c r="I45" t="s">
        <v>350</v>
      </c>
      <c r="J45" t="s">
        <v>474</v>
      </c>
      <c r="K45" t="s">
        <v>35</v>
      </c>
      <c r="L45" t="s">
        <v>93</v>
      </c>
      <c r="M45">
        <v>1</v>
      </c>
      <c r="N45" t="s">
        <v>467</v>
      </c>
    </row>
    <row r="46" spans="1:14" x14ac:dyDescent="0.2">
      <c r="A46" t="s">
        <v>327</v>
      </c>
      <c r="B46">
        <v>5</v>
      </c>
      <c r="C46">
        <v>1.6</v>
      </c>
      <c r="D46">
        <v>50</v>
      </c>
      <c r="E46">
        <v>1</v>
      </c>
      <c r="F46">
        <v>2.5</v>
      </c>
      <c r="G46">
        <v>1</v>
      </c>
      <c r="H46" t="s">
        <v>60</v>
      </c>
      <c r="I46" t="s">
        <v>349</v>
      </c>
      <c r="J46" t="s">
        <v>476</v>
      </c>
      <c r="K46" t="s">
        <v>47</v>
      </c>
      <c r="L46" t="s">
        <v>93</v>
      </c>
      <c r="M46">
        <v>1</v>
      </c>
      <c r="N46" t="s">
        <v>467</v>
      </c>
    </row>
  </sheetData>
  <autoFilter ref="A1:N46" xr:uid="{BD06FBA4-6D97-6B4A-9380-D6AD013DDDF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5A9E-D6B1-FB4A-833A-2EE4ED0AAF09}">
  <dimension ref="A1:N43"/>
  <sheetViews>
    <sheetView workbookViewId="0">
      <selection activeCell="Q18" sqref="Q18"/>
    </sheetView>
  </sheetViews>
  <sheetFormatPr baseColWidth="10" defaultRowHeight="16" x14ac:dyDescent="0.2"/>
  <sheetData>
    <row r="1" spans="1:14" x14ac:dyDescent="0.2">
      <c r="A1" t="s">
        <v>1</v>
      </c>
      <c r="B1" t="s">
        <v>5</v>
      </c>
      <c r="C1" t="s">
        <v>26</v>
      </c>
      <c r="D1" t="s">
        <v>10</v>
      </c>
      <c r="E1" t="s">
        <v>11</v>
      </c>
      <c r="F1" t="s">
        <v>340</v>
      </c>
      <c r="G1" t="s">
        <v>339</v>
      </c>
      <c r="H1" t="s">
        <v>342</v>
      </c>
      <c r="I1" t="s">
        <v>344</v>
      </c>
      <c r="J1" t="s">
        <v>473</v>
      </c>
      <c r="K1" t="s">
        <v>343</v>
      </c>
      <c r="L1" t="s">
        <v>345</v>
      </c>
      <c r="M1" t="s">
        <v>347</v>
      </c>
      <c r="N1" t="s">
        <v>346</v>
      </c>
    </row>
    <row r="2" spans="1:14" x14ac:dyDescent="0.2">
      <c r="A2" t="s">
        <v>62</v>
      </c>
      <c r="B2">
        <v>4</v>
      </c>
      <c r="C2">
        <v>-3</v>
      </c>
      <c r="D2">
        <v>28</v>
      </c>
      <c r="E2">
        <v>1</v>
      </c>
      <c r="F2">
        <v>2.2000000000000002</v>
      </c>
      <c r="G2">
        <v>4</v>
      </c>
      <c r="H2" t="s">
        <v>60</v>
      </c>
      <c r="I2" t="s">
        <v>349</v>
      </c>
      <c r="J2" t="s">
        <v>476</v>
      </c>
      <c r="K2" t="s">
        <v>47</v>
      </c>
      <c r="L2" t="s">
        <v>93</v>
      </c>
      <c r="M2">
        <v>1</v>
      </c>
      <c r="N2" t="s">
        <v>472</v>
      </c>
    </row>
    <row r="3" spans="1:14" x14ac:dyDescent="0.2">
      <c r="A3" t="s">
        <v>73</v>
      </c>
      <c r="B3">
        <v>1.5342465753424657</v>
      </c>
      <c r="C3">
        <v>-2.8026785714285714</v>
      </c>
      <c r="D3">
        <v>201</v>
      </c>
      <c r="E3">
        <v>1</v>
      </c>
      <c r="F3">
        <v>2.5</v>
      </c>
      <c r="G3">
        <v>4</v>
      </c>
      <c r="H3" t="s">
        <v>45</v>
      </c>
      <c r="I3" t="s">
        <v>349</v>
      </c>
      <c r="J3" t="s">
        <v>474</v>
      </c>
      <c r="K3" t="s">
        <v>69</v>
      </c>
      <c r="L3" t="s">
        <v>93</v>
      </c>
      <c r="M3">
        <v>1</v>
      </c>
      <c r="N3" t="s">
        <v>336</v>
      </c>
    </row>
    <row r="4" spans="1:14" x14ac:dyDescent="0.2">
      <c r="A4" t="s">
        <v>72</v>
      </c>
      <c r="B4">
        <v>3.4520547945205502</v>
      </c>
      <c r="C4">
        <v>-1.3615079365079357</v>
      </c>
      <c r="D4">
        <v>201</v>
      </c>
      <c r="E4">
        <v>1</v>
      </c>
      <c r="F4">
        <v>2.5</v>
      </c>
      <c r="G4">
        <v>4</v>
      </c>
      <c r="H4" t="s">
        <v>45</v>
      </c>
      <c r="I4" t="s">
        <v>349</v>
      </c>
      <c r="J4" t="s">
        <v>474</v>
      </c>
      <c r="K4" t="s">
        <v>69</v>
      </c>
      <c r="L4" t="s">
        <v>93</v>
      </c>
      <c r="M4">
        <v>1</v>
      </c>
      <c r="N4" t="s">
        <v>336</v>
      </c>
    </row>
    <row r="5" spans="1:14" x14ac:dyDescent="0.2">
      <c r="A5" t="s">
        <v>80</v>
      </c>
      <c r="B5">
        <v>18</v>
      </c>
      <c r="C5">
        <v>-10</v>
      </c>
      <c r="D5">
        <v>50</v>
      </c>
      <c r="E5">
        <v>1</v>
      </c>
      <c r="F5">
        <v>4</v>
      </c>
      <c r="G5">
        <v>4</v>
      </c>
      <c r="H5" t="s">
        <v>33</v>
      </c>
      <c r="I5" t="s">
        <v>477</v>
      </c>
      <c r="J5" t="s">
        <v>474</v>
      </c>
      <c r="K5" t="s">
        <v>35</v>
      </c>
      <c r="L5" t="s">
        <v>48</v>
      </c>
      <c r="M5">
        <v>1</v>
      </c>
      <c r="N5" t="s">
        <v>336</v>
      </c>
    </row>
    <row r="6" spans="1:14" x14ac:dyDescent="0.2">
      <c r="A6" t="s">
        <v>85</v>
      </c>
      <c r="B6">
        <v>9</v>
      </c>
      <c r="C6">
        <v>-3</v>
      </c>
      <c r="D6">
        <v>50</v>
      </c>
      <c r="E6">
        <v>1</v>
      </c>
      <c r="F6">
        <v>3.5</v>
      </c>
      <c r="G6">
        <v>4</v>
      </c>
      <c r="H6" t="s">
        <v>45</v>
      </c>
      <c r="I6" t="s">
        <v>349</v>
      </c>
      <c r="J6" t="s">
        <v>476</v>
      </c>
      <c r="K6" t="s">
        <v>47</v>
      </c>
      <c r="L6" t="s">
        <v>93</v>
      </c>
      <c r="M6">
        <v>1</v>
      </c>
      <c r="N6" t="s">
        <v>471</v>
      </c>
    </row>
    <row r="7" spans="1:14" x14ac:dyDescent="0.2">
      <c r="A7" t="s">
        <v>88</v>
      </c>
      <c r="B7">
        <v>1</v>
      </c>
      <c r="C7">
        <v>-0.5</v>
      </c>
      <c r="D7">
        <v>19.634954084936208</v>
      </c>
      <c r="E7">
        <v>1</v>
      </c>
      <c r="F7">
        <v>3.5</v>
      </c>
      <c r="G7">
        <v>4</v>
      </c>
      <c r="H7" t="s">
        <v>45</v>
      </c>
      <c r="I7" t="s">
        <v>477</v>
      </c>
      <c r="J7" t="s">
        <v>475</v>
      </c>
      <c r="K7" t="s">
        <v>47</v>
      </c>
      <c r="L7" t="s">
        <v>52</v>
      </c>
      <c r="M7">
        <v>2</v>
      </c>
      <c r="N7" t="s">
        <v>336</v>
      </c>
    </row>
    <row r="8" spans="1:14" x14ac:dyDescent="0.2">
      <c r="A8" t="s">
        <v>89</v>
      </c>
      <c r="B8">
        <v>1</v>
      </c>
      <c r="C8">
        <v>-1</v>
      </c>
      <c r="D8">
        <v>19.634954084936208</v>
      </c>
      <c r="E8">
        <v>1</v>
      </c>
      <c r="F8">
        <v>3.5</v>
      </c>
      <c r="G8">
        <v>4</v>
      </c>
      <c r="H8" t="s">
        <v>45</v>
      </c>
      <c r="I8" t="s">
        <v>477</v>
      </c>
      <c r="J8" t="s">
        <v>475</v>
      </c>
      <c r="K8" t="s">
        <v>47</v>
      </c>
      <c r="L8" t="s">
        <v>52</v>
      </c>
      <c r="M8">
        <v>2</v>
      </c>
      <c r="N8" t="s">
        <v>336</v>
      </c>
    </row>
    <row r="9" spans="1:14" x14ac:dyDescent="0.2">
      <c r="A9" t="s">
        <v>90</v>
      </c>
      <c r="B9">
        <v>1</v>
      </c>
      <c r="C9">
        <v>-1</v>
      </c>
      <c r="D9">
        <v>19.634954084936208</v>
      </c>
      <c r="E9">
        <v>1</v>
      </c>
      <c r="F9">
        <v>3.5</v>
      </c>
      <c r="G9">
        <v>4</v>
      </c>
      <c r="H9" t="s">
        <v>45</v>
      </c>
      <c r="I9" t="s">
        <v>477</v>
      </c>
      <c r="J9" t="s">
        <v>475</v>
      </c>
      <c r="K9" t="s">
        <v>47</v>
      </c>
      <c r="L9" t="s">
        <v>52</v>
      </c>
      <c r="M9">
        <v>2</v>
      </c>
      <c r="N9" t="s">
        <v>336</v>
      </c>
    </row>
    <row r="10" spans="1:14" x14ac:dyDescent="0.2">
      <c r="A10" t="s">
        <v>97</v>
      </c>
      <c r="B10">
        <v>13</v>
      </c>
      <c r="C10">
        <v>-3</v>
      </c>
      <c r="D10">
        <v>38</v>
      </c>
      <c r="E10">
        <v>1</v>
      </c>
      <c r="F10">
        <v>9.6</v>
      </c>
      <c r="G10">
        <v>4</v>
      </c>
      <c r="H10" t="s">
        <v>96</v>
      </c>
      <c r="I10" t="s">
        <v>477</v>
      </c>
      <c r="J10" t="s">
        <v>474</v>
      </c>
      <c r="K10" t="s">
        <v>35</v>
      </c>
      <c r="L10" t="s">
        <v>77</v>
      </c>
      <c r="M10">
        <v>2</v>
      </c>
      <c r="N10" t="s">
        <v>467</v>
      </c>
    </row>
    <row r="11" spans="1:14" x14ac:dyDescent="0.2">
      <c r="A11" t="s">
        <v>110</v>
      </c>
      <c r="B11">
        <v>7.5041095890410956</v>
      </c>
      <c r="C11">
        <v>-0.43975903614457829</v>
      </c>
      <c r="D11">
        <v>177</v>
      </c>
      <c r="E11">
        <v>1.5</v>
      </c>
      <c r="F11">
        <v>2.15</v>
      </c>
      <c r="G11">
        <v>4</v>
      </c>
      <c r="H11" t="s">
        <v>33</v>
      </c>
      <c r="I11" t="s">
        <v>477</v>
      </c>
      <c r="J11" t="s">
        <v>474</v>
      </c>
      <c r="K11" t="s">
        <v>109</v>
      </c>
      <c r="L11" t="s">
        <v>48</v>
      </c>
      <c r="M11">
        <v>1</v>
      </c>
      <c r="N11" t="s">
        <v>336</v>
      </c>
    </row>
    <row r="12" spans="1:14" x14ac:dyDescent="0.2">
      <c r="A12" t="s">
        <v>125</v>
      </c>
      <c r="B12">
        <v>6</v>
      </c>
      <c r="C12">
        <v>-2</v>
      </c>
      <c r="D12">
        <v>79</v>
      </c>
      <c r="E12">
        <v>1</v>
      </c>
      <c r="F12">
        <v>4.5</v>
      </c>
      <c r="G12">
        <v>4</v>
      </c>
      <c r="H12" t="s">
        <v>45</v>
      </c>
      <c r="I12" t="s">
        <v>477</v>
      </c>
      <c r="J12" t="s">
        <v>474</v>
      </c>
      <c r="K12" t="s">
        <v>124</v>
      </c>
      <c r="L12" t="s">
        <v>93</v>
      </c>
      <c r="M12">
        <v>2</v>
      </c>
      <c r="N12" t="s">
        <v>336</v>
      </c>
    </row>
    <row r="13" spans="1:14" x14ac:dyDescent="0.2">
      <c r="A13" t="s">
        <v>127</v>
      </c>
      <c r="B13">
        <v>3</v>
      </c>
      <c r="C13">
        <v>-4.666666666666667</v>
      </c>
      <c r="D13">
        <v>64</v>
      </c>
      <c r="E13">
        <v>1</v>
      </c>
      <c r="F13">
        <v>8</v>
      </c>
      <c r="G13">
        <v>4</v>
      </c>
      <c r="H13" t="s">
        <v>33</v>
      </c>
      <c r="I13" t="s">
        <v>349</v>
      </c>
      <c r="J13" t="s">
        <v>474</v>
      </c>
      <c r="K13" t="s">
        <v>69</v>
      </c>
      <c r="L13" t="s">
        <v>93</v>
      </c>
      <c r="M13">
        <v>1</v>
      </c>
      <c r="N13" t="s">
        <v>472</v>
      </c>
    </row>
    <row r="14" spans="1:14" x14ac:dyDescent="0.2">
      <c r="A14" t="s">
        <v>130</v>
      </c>
      <c r="B14">
        <v>11</v>
      </c>
      <c r="C14">
        <v>-0.4</v>
      </c>
      <c r="D14">
        <v>227</v>
      </c>
      <c r="E14">
        <v>1</v>
      </c>
      <c r="F14">
        <v>9</v>
      </c>
      <c r="G14">
        <v>4</v>
      </c>
      <c r="H14" t="s">
        <v>45</v>
      </c>
      <c r="I14" t="s">
        <v>477</v>
      </c>
      <c r="J14" t="s">
        <v>474</v>
      </c>
      <c r="K14" t="s">
        <v>35</v>
      </c>
      <c r="L14" t="s">
        <v>48</v>
      </c>
      <c r="M14">
        <v>1</v>
      </c>
      <c r="N14" t="s">
        <v>472</v>
      </c>
    </row>
    <row r="15" spans="1:14" x14ac:dyDescent="0.2">
      <c r="A15" t="s">
        <v>137</v>
      </c>
      <c r="B15">
        <v>5</v>
      </c>
      <c r="C15">
        <v>-4</v>
      </c>
      <c r="D15">
        <v>118</v>
      </c>
      <c r="E15">
        <v>1.5</v>
      </c>
      <c r="F15">
        <v>4</v>
      </c>
      <c r="G15">
        <v>4</v>
      </c>
      <c r="H15" t="s">
        <v>96</v>
      </c>
      <c r="I15" t="s">
        <v>349</v>
      </c>
      <c r="J15" t="s">
        <v>474</v>
      </c>
      <c r="K15" t="s">
        <v>109</v>
      </c>
      <c r="L15" t="s">
        <v>93</v>
      </c>
      <c r="M15">
        <v>1</v>
      </c>
      <c r="N15" t="s">
        <v>336</v>
      </c>
    </row>
    <row r="16" spans="1:14" x14ac:dyDescent="0.2">
      <c r="A16" t="s">
        <v>150</v>
      </c>
      <c r="B16">
        <v>16</v>
      </c>
      <c r="C16">
        <v>-0.8</v>
      </c>
      <c r="D16">
        <v>50</v>
      </c>
      <c r="E16">
        <v>1</v>
      </c>
      <c r="F16">
        <v>7</v>
      </c>
      <c r="G16">
        <v>4</v>
      </c>
      <c r="H16" t="s">
        <v>33</v>
      </c>
      <c r="I16" t="s">
        <v>477</v>
      </c>
      <c r="J16" t="s">
        <v>474</v>
      </c>
      <c r="K16" t="s">
        <v>35</v>
      </c>
      <c r="L16" t="s">
        <v>93</v>
      </c>
      <c r="M16">
        <v>1</v>
      </c>
      <c r="N16" t="s">
        <v>336</v>
      </c>
    </row>
    <row r="17" spans="1:14" x14ac:dyDescent="0.2">
      <c r="A17" t="s">
        <v>153</v>
      </c>
      <c r="B17">
        <v>4</v>
      </c>
      <c r="C17">
        <v>-3.25</v>
      </c>
      <c r="D17">
        <v>50</v>
      </c>
      <c r="E17">
        <v>1</v>
      </c>
      <c r="F17">
        <v>4.5</v>
      </c>
      <c r="G17">
        <v>4</v>
      </c>
      <c r="H17" t="s">
        <v>45</v>
      </c>
      <c r="I17" t="s">
        <v>477</v>
      </c>
      <c r="J17" t="s">
        <v>474</v>
      </c>
      <c r="K17" t="s">
        <v>124</v>
      </c>
      <c r="L17" t="s">
        <v>93</v>
      </c>
      <c r="M17">
        <v>2</v>
      </c>
      <c r="N17" t="s">
        <v>468</v>
      </c>
    </row>
    <row r="18" spans="1:14" x14ac:dyDescent="0.2">
      <c r="A18" t="s">
        <v>162</v>
      </c>
      <c r="B18">
        <v>18</v>
      </c>
      <c r="C18">
        <v>-1.5</v>
      </c>
      <c r="D18">
        <v>113</v>
      </c>
      <c r="E18">
        <v>1</v>
      </c>
      <c r="F18">
        <v>6.5</v>
      </c>
      <c r="G18">
        <v>4</v>
      </c>
      <c r="H18" t="s">
        <v>45</v>
      </c>
      <c r="I18" t="s">
        <v>477</v>
      </c>
      <c r="J18" t="s">
        <v>474</v>
      </c>
      <c r="K18" t="s">
        <v>35</v>
      </c>
      <c r="L18" t="s">
        <v>48</v>
      </c>
      <c r="M18">
        <v>1</v>
      </c>
      <c r="N18" t="s">
        <v>336</v>
      </c>
    </row>
    <row r="19" spans="1:14" x14ac:dyDescent="0.2">
      <c r="A19" t="s">
        <v>177</v>
      </c>
      <c r="B19">
        <v>2.4986301369863013</v>
      </c>
      <c r="C19">
        <v>-2.1611842105263159</v>
      </c>
      <c r="D19">
        <v>38</v>
      </c>
      <c r="E19">
        <v>1.3333333333333333</v>
      </c>
      <c r="F19">
        <v>5.5</v>
      </c>
      <c r="G19">
        <v>4</v>
      </c>
      <c r="H19" t="s">
        <v>176</v>
      </c>
      <c r="I19" t="s">
        <v>176</v>
      </c>
      <c r="J19" t="s">
        <v>474</v>
      </c>
      <c r="K19" t="s">
        <v>176</v>
      </c>
      <c r="L19" t="s">
        <v>93</v>
      </c>
      <c r="M19">
        <v>1</v>
      </c>
      <c r="N19" t="s">
        <v>336</v>
      </c>
    </row>
    <row r="20" spans="1:14" x14ac:dyDescent="0.2">
      <c r="A20" t="s">
        <v>201</v>
      </c>
      <c r="B20">
        <v>3</v>
      </c>
      <c r="C20">
        <v>-2.4</v>
      </c>
      <c r="D20">
        <v>79</v>
      </c>
      <c r="E20">
        <v>1</v>
      </c>
      <c r="F20">
        <v>3</v>
      </c>
      <c r="G20">
        <v>4</v>
      </c>
      <c r="H20" t="s">
        <v>33</v>
      </c>
      <c r="I20" t="s">
        <v>349</v>
      </c>
      <c r="J20" t="s">
        <v>476</v>
      </c>
      <c r="K20" t="s">
        <v>47</v>
      </c>
      <c r="L20" t="s">
        <v>93</v>
      </c>
      <c r="M20">
        <v>2</v>
      </c>
      <c r="N20" t="s">
        <v>468</v>
      </c>
    </row>
    <row r="21" spans="1:14" x14ac:dyDescent="0.2">
      <c r="A21" t="s">
        <v>203</v>
      </c>
      <c r="B21">
        <v>18</v>
      </c>
      <c r="C21">
        <v>-0.5</v>
      </c>
      <c r="D21">
        <v>201</v>
      </c>
      <c r="E21">
        <v>1</v>
      </c>
      <c r="F21">
        <v>2.75</v>
      </c>
      <c r="G21">
        <v>4</v>
      </c>
      <c r="H21" t="s">
        <v>45</v>
      </c>
      <c r="I21" t="s">
        <v>477</v>
      </c>
      <c r="J21" t="s">
        <v>474</v>
      </c>
      <c r="K21" t="s">
        <v>35</v>
      </c>
      <c r="L21" t="s">
        <v>93</v>
      </c>
      <c r="M21">
        <v>1</v>
      </c>
      <c r="N21" t="s">
        <v>336</v>
      </c>
    </row>
    <row r="22" spans="1:14" x14ac:dyDescent="0.2">
      <c r="A22" t="s">
        <v>207</v>
      </c>
      <c r="B22">
        <v>8</v>
      </c>
      <c r="C22">
        <v>-0.4</v>
      </c>
      <c r="D22">
        <v>7</v>
      </c>
      <c r="E22">
        <v>1</v>
      </c>
      <c r="F22">
        <v>4</v>
      </c>
      <c r="G22">
        <v>4</v>
      </c>
      <c r="H22" t="s">
        <v>64</v>
      </c>
      <c r="I22" t="s">
        <v>348</v>
      </c>
      <c r="J22" t="s">
        <v>475</v>
      </c>
      <c r="K22" t="s">
        <v>47</v>
      </c>
      <c r="L22" t="s">
        <v>48</v>
      </c>
      <c r="M22">
        <v>1</v>
      </c>
      <c r="N22" t="s">
        <v>470</v>
      </c>
    </row>
    <row r="23" spans="1:14" x14ac:dyDescent="0.2">
      <c r="A23" t="s">
        <v>207</v>
      </c>
      <c r="B23">
        <v>8</v>
      </c>
      <c r="C23">
        <v>-0.6</v>
      </c>
      <c r="D23">
        <v>7</v>
      </c>
      <c r="E23">
        <v>1</v>
      </c>
      <c r="F23">
        <v>4</v>
      </c>
      <c r="G23">
        <v>4</v>
      </c>
      <c r="H23" t="s">
        <v>64</v>
      </c>
      <c r="I23" t="s">
        <v>348</v>
      </c>
      <c r="J23" t="s">
        <v>475</v>
      </c>
      <c r="K23" t="s">
        <v>47</v>
      </c>
      <c r="L23" t="s">
        <v>93</v>
      </c>
      <c r="M23">
        <v>1</v>
      </c>
      <c r="N23" t="s">
        <v>470</v>
      </c>
    </row>
    <row r="24" spans="1:14" x14ac:dyDescent="0.2">
      <c r="A24" t="s">
        <v>209</v>
      </c>
      <c r="B24">
        <v>18</v>
      </c>
      <c r="C24">
        <v>-1</v>
      </c>
      <c r="D24">
        <v>1257</v>
      </c>
      <c r="E24">
        <v>1</v>
      </c>
      <c r="F24">
        <v>8</v>
      </c>
      <c r="G24">
        <v>4</v>
      </c>
      <c r="H24" t="s">
        <v>45</v>
      </c>
      <c r="I24" t="s">
        <v>477</v>
      </c>
      <c r="J24" t="s">
        <v>474</v>
      </c>
      <c r="K24" t="s">
        <v>35</v>
      </c>
      <c r="L24" t="s">
        <v>48</v>
      </c>
      <c r="M24">
        <v>1</v>
      </c>
      <c r="N24" t="s">
        <v>471</v>
      </c>
    </row>
    <row r="25" spans="1:14" x14ac:dyDescent="0.2">
      <c r="A25" t="s">
        <v>213</v>
      </c>
      <c r="B25">
        <v>0.75068493150684934</v>
      </c>
      <c r="C25">
        <v>-9.3248175182481745</v>
      </c>
      <c r="D25">
        <v>79</v>
      </c>
      <c r="E25">
        <v>1</v>
      </c>
      <c r="F25">
        <v>3</v>
      </c>
      <c r="G25">
        <v>4</v>
      </c>
      <c r="H25" t="s">
        <v>45</v>
      </c>
      <c r="I25" t="s">
        <v>349</v>
      </c>
      <c r="J25" t="s">
        <v>474</v>
      </c>
      <c r="K25" t="s">
        <v>56</v>
      </c>
      <c r="L25" t="s">
        <v>93</v>
      </c>
      <c r="M25">
        <v>2</v>
      </c>
      <c r="N25" t="s">
        <v>468</v>
      </c>
    </row>
    <row r="26" spans="1:14" x14ac:dyDescent="0.2">
      <c r="A26" t="s">
        <v>221</v>
      </c>
      <c r="B26">
        <v>4.9369863013698634</v>
      </c>
      <c r="C26">
        <v>-1</v>
      </c>
      <c r="D26">
        <v>380</v>
      </c>
      <c r="E26">
        <v>1</v>
      </c>
      <c r="F26">
        <v>5.8</v>
      </c>
      <c r="G26">
        <v>4</v>
      </c>
      <c r="H26" t="s">
        <v>45</v>
      </c>
      <c r="I26" t="s">
        <v>477</v>
      </c>
      <c r="J26" t="s">
        <v>475</v>
      </c>
      <c r="K26" t="s">
        <v>35</v>
      </c>
      <c r="L26" t="s">
        <v>48</v>
      </c>
      <c r="M26">
        <v>1</v>
      </c>
      <c r="N26" t="s">
        <v>336</v>
      </c>
    </row>
    <row r="27" spans="1:14" x14ac:dyDescent="0.2">
      <c r="A27" t="s">
        <v>222</v>
      </c>
      <c r="B27">
        <v>5</v>
      </c>
      <c r="C27">
        <v>-1</v>
      </c>
      <c r="D27">
        <v>20</v>
      </c>
      <c r="E27">
        <v>1</v>
      </c>
      <c r="F27">
        <v>5.8</v>
      </c>
      <c r="G27">
        <v>4</v>
      </c>
      <c r="H27" t="s">
        <v>45</v>
      </c>
      <c r="I27" t="s">
        <v>477</v>
      </c>
      <c r="J27" t="s">
        <v>475</v>
      </c>
      <c r="K27" t="s">
        <v>35</v>
      </c>
      <c r="L27" t="s">
        <v>93</v>
      </c>
      <c r="M27">
        <v>1</v>
      </c>
      <c r="N27" t="s">
        <v>336</v>
      </c>
    </row>
    <row r="28" spans="1:14" x14ac:dyDescent="0.2">
      <c r="A28" t="s">
        <v>240</v>
      </c>
      <c r="B28">
        <v>61</v>
      </c>
      <c r="C28">
        <v>-1</v>
      </c>
      <c r="D28">
        <v>177</v>
      </c>
      <c r="E28">
        <v>1</v>
      </c>
      <c r="F28">
        <v>9.5</v>
      </c>
      <c r="G28">
        <v>4</v>
      </c>
      <c r="H28" t="s">
        <v>60</v>
      </c>
      <c r="I28" t="s">
        <v>477</v>
      </c>
      <c r="J28" t="s">
        <v>474</v>
      </c>
      <c r="K28" t="s">
        <v>47</v>
      </c>
      <c r="L28" t="s">
        <v>239</v>
      </c>
      <c r="M28">
        <v>1</v>
      </c>
      <c r="N28" t="s">
        <v>471</v>
      </c>
    </row>
    <row r="29" spans="1:14" x14ac:dyDescent="0.2">
      <c r="A29" t="s">
        <v>242</v>
      </c>
      <c r="B29">
        <v>3</v>
      </c>
      <c r="C29">
        <v>-0.93333333333333324</v>
      </c>
      <c r="D29">
        <v>28</v>
      </c>
      <c r="E29">
        <v>1</v>
      </c>
      <c r="F29">
        <v>1.5</v>
      </c>
      <c r="G29">
        <v>4</v>
      </c>
      <c r="H29" t="s">
        <v>60</v>
      </c>
      <c r="I29" t="s">
        <v>349</v>
      </c>
      <c r="J29" t="s">
        <v>474</v>
      </c>
      <c r="K29" t="s">
        <v>109</v>
      </c>
      <c r="L29" t="s">
        <v>93</v>
      </c>
      <c r="M29">
        <v>1</v>
      </c>
      <c r="N29" t="s">
        <v>336</v>
      </c>
    </row>
    <row r="30" spans="1:14" x14ac:dyDescent="0.2">
      <c r="A30" t="s">
        <v>244</v>
      </c>
      <c r="B30">
        <v>1.2547945205479452</v>
      </c>
      <c r="C30">
        <v>-20</v>
      </c>
      <c r="D30">
        <v>177</v>
      </c>
      <c r="E30">
        <v>1</v>
      </c>
      <c r="F30">
        <v>7</v>
      </c>
      <c r="G30">
        <v>4</v>
      </c>
      <c r="H30" t="s">
        <v>45</v>
      </c>
      <c r="I30" t="s">
        <v>349</v>
      </c>
      <c r="J30" t="s">
        <v>475</v>
      </c>
      <c r="K30" t="s">
        <v>109</v>
      </c>
      <c r="L30" t="s">
        <v>93</v>
      </c>
      <c r="M30">
        <v>2</v>
      </c>
      <c r="N30" t="s">
        <v>468</v>
      </c>
    </row>
    <row r="31" spans="1:14" x14ac:dyDescent="0.2">
      <c r="A31" t="s">
        <v>258</v>
      </c>
      <c r="B31">
        <v>1</v>
      </c>
      <c r="C31">
        <v>-5</v>
      </c>
      <c r="D31">
        <v>12.566370614359172</v>
      </c>
      <c r="E31">
        <v>1</v>
      </c>
      <c r="F31">
        <v>3</v>
      </c>
      <c r="G31">
        <v>4</v>
      </c>
      <c r="H31" t="s">
        <v>60</v>
      </c>
      <c r="I31" t="s">
        <v>477</v>
      </c>
      <c r="J31" t="s">
        <v>475</v>
      </c>
      <c r="K31" t="s">
        <v>47</v>
      </c>
      <c r="L31" t="s">
        <v>93</v>
      </c>
      <c r="M31">
        <v>2</v>
      </c>
      <c r="N31" t="s">
        <v>472</v>
      </c>
    </row>
    <row r="32" spans="1:14" x14ac:dyDescent="0.2">
      <c r="A32" t="s">
        <v>256</v>
      </c>
      <c r="B32">
        <v>1</v>
      </c>
      <c r="C32">
        <v>-2</v>
      </c>
      <c r="D32">
        <v>27.488935718910689</v>
      </c>
      <c r="E32">
        <v>1.4</v>
      </c>
      <c r="F32">
        <v>3</v>
      </c>
      <c r="G32">
        <v>4</v>
      </c>
      <c r="H32" t="s">
        <v>60</v>
      </c>
      <c r="I32" t="s">
        <v>477</v>
      </c>
      <c r="J32" t="s">
        <v>475</v>
      </c>
      <c r="K32" t="s">
        <v>47</v>
      </c>
      <c r="L32" t="s">
        <v>93</v>
      </c>
      <c r="M32">
        <v>2</v>
      </c>
      <c r="N32" t="s">
        <v>472</v>
      </c>
    </row>
    <row r="33" spans="1:14" x14ac:dyDescent="0.2">
      <c r="A33" t="s">
        <v>272</v>
      </c>
      <c r="B33">
        <v>19</v>
      </c>
      <c r="C33">
        <v>-1</v>
      </c>
      <c r="D33">
        <v>314</v>
      </c>
      <c r="E33">
        <v>1</v>
      </c>
      <c r="F33">
        <v>5.25</v>
      </c>
      <c r="G33">
        <v>4</v>
      </c>
      <c r="H33" t="s">
        <v>33</v>
      </c>
      <c r="I33" t="s">
        <v>477</v>
      </c>
      <c r="J33" t="s">
        <v>474</v>
      </c>
      <c r="K33" t="s">
        <v>69</v>
      </c>
      <c r="L33" t="s">
        <v>93</v>
      </c>
      <c r="M33">
        <v>1</v>
      </c>
      <c r="N33" t="s">
        <v>472</v>
      </c>
    </row>
    <row r="34" spans="1:14" x14ac:dyDescent="0.2">
      <c r="A34" t="s">
        <v>276</v>
      </c>
      <c r="B34">
        <v>0.24383561643835616</v>
      </c>
      <c r="C34">
        <v>-12.303370786516854</v>
      </c>
      <c r="D34">
        <v>95</v>
      </c>
      <c r="E34">
        <v>1</v>
      </c>
      <c r="F34">
        <v>4.75</v>
      </c>
      <c r="G34">
        <v>4</v>
      </c>
      <c r="H34" t="s">
        <v>60</v>
      </c>
      <c r="I34" t="s">
        <v>477</v>
      </c>
      <c r="J34" t="s">
        <v>474</v>
      </c>
      <c r="K34" t="s">
        <v>232</v>
      </c>
      <c r="L34" t="s">
        <v>48</v>
      </c>
      <c r="M34">
        <v>1</v>
      </c>
      <c r="N34" t="s">
        <v>336</v>
      </c>
    </row>
    <row r="35" spans="1:14" x14ac:dyDescent="0.2">
      <c r="A35" t="s">
        <v>280</v>
      </c>
      <c r="B35">
        <v>4.8328767123287673</v>
      </c>
      <c r="C35">
        <v>-1.6</v>
      </c>
      <c r="D35">
        <v>28</v>
      </c>
      <c r="E35">
        <v>1</v>
      </c>
      <c r="F35">
        <v>2</v>
      </c>
      <c r="G35">
        <v>4</v>
      </c>
      <c r="H35" t="s">
        <v>45</v>
      </c>
      <c r="I35" t="s">
        <v>477</v>
      </c>
      <c r="J35" t="s">
        <v>475</v>
      </c>
      <c r="K35" t="s">
        <v>35</v>
      </c>
      <c r="L35" t="s">
        <v>93</v>
      </c>
      <c r="M35">
        <v>1</v>
      </c>
      <c r="N35" t="s">
        <v>336</v>
      </c>
    </row>
    <row r="36" spans="1:14" x14ac:dyDescent="0.2">
      <c r="A36" t="s">
        <v>281</v>
      </c>
      <c r="B36">
        <v>5.087671232876712</v>
      </c>
      <c r="C36">
        <v>-1.6</v>
      </c>
      <c r="D36">
        <v>20</v>
      </c>
      <c r="E36">
        <v>1</v>
      </c>
      <c r="F36">
        <v>2</v>
      </c>
      <c r="G36">
        <v>4</v>
      </c>
      <c r="H36" t="s">
        <v>45</v>
      </c>
      <c r="I36" t="s">
        <v>477</v>
      </c>
      <c r="J36" t="s">
        <v>475</v>
      </c>
      <c r="K36" t="s">
        <v>35</v>
      </c>
      <c r="L36" t="s">
        <v>93</v>
      </c>
      <c r="M36">
        <v>1</v>
      </c>
      <c r="N36" t="s">
        <v>336</v>
      </c>
    </row>
    <row r="37" spans="1:14" x14ac:dyDescent="0.2">
      <c r="A37" t="s">
        <v>285</v>
      </c>
      <c r="B37">
        <v>3</v>
      </c>
      <c r="C37">
        <v>-0.9</v>
      </c>
      <c r="D37">
        <v>380</v>
      </c>
      <c r="E37">
        <v>1</v>
      </c>
      <c r="F37">
        <v>4.4000000000000004</v>
      </c>
      <c r="G37">
        <v>4</v>
      </c>
      <c r="H37" t="s">
        <v>60</v>
      </c>
      <c r="I37" t="s">
        <v>349</v>
      </c>
      <c r="J37" t="s">
        <v>474</v>
      </c>
      <c r="K37" t="s">
        <v>109</v>
      </c>
      <c r="L37" t="s">
        <v>48</v>
      </c>
      <c r="M37">
        <v>1</v>
      </c>
      <c r="N37" t="s">
        <v>336</v>
      </c>
    </row>
    <row r="38" spans="1:14" x14ac:dyDescent="0.2">
      <c r="A38" t="s">
        <v>289</v>
      </c>
      <c r="B38">
        <v>94</v>
      </c>
      <c r="C38">
        <v>0.2</v>
      </c>
      <c r="D38">
        <v>1257</v>
      </c>
      <c r="E38">
        <v>1</v>
      </c>
      <c r="F38">
        <v>19</v>
      </c>
      <c r="G38">
        <v>4</v>
      </c>
      <c r="H38" t="s">
        <v>60</v>
      </c>
      <c r="I38" t="s">
        <v>349</v>
      </c>
      <c r="J38" t="s">
        <v>476</v>
      </c>
      <c r="K38" t="s">
        <v>109</v>
      </c>
      <c r="L38" t="s">
        <v>48</v>
      </c>
      <c r="M38">
        <v>1</v>
      </c>
      <c r="N38" t="s">
        <v>471</v>
      </c>
    </row>
    <row r="39" spans="1:14" x14ac:dyDescent="0.2">
      <c r="A39" t="s">
        <v>296</v>
      </c>
      <c r="B39">
        <v>12</v>
      </c>
      <c r="C39">
        <v>-1.5</v>
      </c>
      <c r="D39">
        <v>79</v>
      </c>
      <c r="E39">
        <v>1</v>
      </c>
      <c r="F39">
        <v>12</v>
      </c>
      <c r="G39">
        <v>4</v>
      </c>
      <c r="H39" t="s">
        <v>45</v>
      </c>
      <c r="I39" t="s">
        <v>477</v>
      </c>
      <c r="J39" t="s">
        <v>474</v>
      </c>
      <c r="K39" t="s">
        <v>232</v>
      </c>
      <c r="L39" t="s">
        <v>77</v>
      </c>
      <c r="M39">
        <v>2</v>
      </c>
      <c r="N39" t="s">
        <v>470</v>
      </c>
    </row>
    <row r="40" spans="1:14" x14ac:dyDescent="0.2">
      <c r="A40" t="s">
        <v>299</v>
      </c>
      <c r="B40">
        <v>3</v>
      </c>
      <c r="C40">
        <v>-1.5333333333333332</v>
      </c>
      <c r="D40">
        <v>20</v>
      </c>
      <c r="E40">
        <v>1</v>
      </c>
      <c r="F40">
        <v>2</v>
      </c>
      <c r="G40">
        <v>4</v>
      </c>
      <c r="H40" t="s">
        <v>60</v>
      </c>
      <c r="I40" t="s">
        <v>349</v>
      </c>
      <c r="J40" t="s">
        <v>474</v>
      </c>
      <c r="K40" t="s">
        <v>298</v>
      </c>
      <c r="L40" t="s">
        <v>93</v>
      </c>
      <c r="M40">
        <v>1</v>
      </c>
      <c r="N40" t="s">
        <v>469</v>
      </c>
    </row>
    <row r="41" spans="1:14" x14ac:dyDescent="0.2">
      <c r="A41" t="s">
        <v>303</v>
      </c>
      <c r="B41">
        <v>7</v>
      </c>
      <c r="C41">
        <v>-1</v>
      </c>
      <c r="D41">
        <v>113</v>
      </c>
      <c r="E41">
        <v>1</v>
      </c>
      <c r="F41">
        <v>4.5</v>
      </c>
      <c r="G41">
        <v>4</v>
      </c>
      <c r="H41" t="s">
        <v>60</v>
      </c>
      <c r="I41" t="s">
        <v>348</v>
      </c>
      <c r="J41" t="s">
        <v>474</v>
      </c>
      <c r="K41" t="s">
        <v>47</v>
      </c>
      <c r="L41" t="s">
        <v>93</v>
      </c>
      <c r="M41">
        <v>1</v>
      </c>
      <c r="N41" t="s">
        <v>336</v>
      </c>
    </row>
    <row r="42" spans="1:14" x14ac:dyDescent="0.2">
      <c r="A42" t="s">
        <v>311</v>
      </c>
      <c r="B42">
        <v>4</v>
      </c>
      <c r="C42">
        <v>-1.2</v>
      </c>
      <c r="D42">
        <v>314</v>
      </c>
      <c r="E42">
        <v>1</v>
      </c>
      <c r="F42">
        <v>8</v>
      </c>
      <c r="G42">
        <v>4</v>
      </c>
      <c r="H42" t="s">
        <v>45</v>
      </c>
      <c r="I42" t="s">
        <v>349</v>
      </c>
      <c r="J42" t="s">
        <v>476</v>
      </c>
      <c r="K42" t="s">
        <v>69</v>
      </c>
      <c r="L42" t="s">
        <v>48</v>
      </c>
      <c r="M42">
        <v>1</v>
      </c>
      <c r="N42" t="s">
        <v>336</v>
      </c>
    </row>
    <row r="43" spans="1:14" x14ac:dyDescent="0.2">
      <c r="A43" t="s">
        <v>310</v>
      </c>
      <c r="B43">
        <v>7</v>
      </c>
      <c r="C43">
        <v>-0.7</v>
      </c>
      <c r="D43">
        <v>314</v>
      </c>
      <c r="E43">
        <v>1</v>
      </c>
      <c r="F43">
        <v>8</v>
      </c>
      <c r="G43">
        <v>4</v>
      </c>
      <c r="H43" t="s">
        <v>45</v>
      </c>
      <c r="I43" t="s">
        <v>349</v>
      </c>
      <c r="J43" t="s">
        <v>476</v>
      </c>
      <c r="K43" t="s">
        <v>69</v>
      </c>
      <c r="L43" t="s">
        <v>48</v>
      </c>
      <c r="M43">
        <v>1</v>
      </c>
      <c r="N43" t="s">
        <v>336</v>
      </c>
    </row>
  </sheetData>
  <autoFilter ref="A1:N43" xr:uid="{107E5A9E-D6B1-FB4A-833A-2EE4ED0AAF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Cropped_FullDataset</vt:lpstr>
      <vt:lpstr>Cropped_FullDataset_No_Duplicat</vt:lpstr>
      <vt:lpstr>Clusters_MyClassification</vt:lpstr>
      <vt:lpstr>Cluster1_Events</vt:lpstr>
      <vt:lpstr>Cluster4_Events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Ireland</dc:creator>
  <cp:lastModifiedBy>Ben Ireland</cp:lastModifiedBy>
  <dcterms:created xsi:type="dcterms:W3CDTF">2026-04-01T15:11:46Z</dcterms:created>
  <dcterms:modified xsi:type="dcterms:W3CDTF">2026-06-12T15:14:08Z</dcterms:modified>
</cp:coreProperties>
</file>